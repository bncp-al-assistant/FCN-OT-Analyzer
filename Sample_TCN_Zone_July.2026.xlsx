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HENC &amp; TCN Zone_July.26" sheetId="1" r:id="rId1"/>
  </sheets>
  <definedNames>
    <definedName name="_xlnm._FilterDatabase" localSheetId="0" hidden="1">'HENC &amp; TCN Zone_July.26'!$A$3:$AO$3</definedName>
    <definedName name="_xlnm.Print_Area" localSheetId="0">'HENC &amp; TCN Zone_July.26'!$A$1:$AW$50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  <numFmt numFmtId="164" formatCode="_-* #,##0_-;\-* #,##0_-;_-* &quot;-&quot;_-;_-@_-"/>
    <numFmt numFmtId="165" formatCode="General\ &quot;회&quot;"/>
    <numFmt numFmtId="166" formatCode="0_);[Red]\(0\)"/>
    <numFmt numFmtId="167" formatCode="0.0"/>
    <numFmt numFmtId="168" formatCode="_-* #,##0.00_-;\-* #,##0.0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66" fontId="0" fillId="0" borderId="0" xfId="0" applyNumberFormat="1"/>
    <xf numFmtId="167" fontId="0" fillId="0" borderId="0" xfId="0" applyNumberFormat="1"/>
    <xf numFmtId="20" fontId="0" fillId="0" borderId="0" xfId="0" applyNumberFormat="1"/>
    <xf numFmtId="165" fontId="0" fillId="0" borderId="0" xfId="0" applyNumberFormat="1"/>
    <xf numFmtId="1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0"/>
  <sheetViews>
    <sheetView workbookViewId="0" rightToLeft="0"/>
  </sheetViews>
  <cols>
    <col min="1" max="1" customWidth="1" width="8.6640625"/>
    <col min="2" max="2" customWidth="1" width="15.6640625"/>
    <col min="3" max="3" customWidth="1" width="34.6640625"/>
    <col min="4" max="4" customWidth="1" width="12.6640625"/>
    <col min="5" max="5" customWidth="1" width="8.6640625"/>
    <col min="6" max="6" customWidth="1" width="7.6640625"/>
    <col min="7" max="7" customWidth="1" width="8.109375"/>
    <col min="8" max="8" customWidth="1" width="7.6640625"/>
    <col min="9" max="9" customWidth="1" width="7.6640625"/>
    <col min="10" max="10" customWidth="1" width="7.6640625"/>
    <col min="11" max="11" customWidth="1" width="7.6640625"/>
    <col min="12" max="12" customWidth="1" width="7.6640625"/>
    <col min="13" max="13" customWidth="1" width="7.6640625"/>
    <col min="14" max="14" customWidth="1" width="7.6640625"/>
    <col min="15" max="15" customWidth="1" width="7.6640625"/>
    <col min="16" max="16" customWidth="1" width="7.6640625"/>
    <col min="17" max="17" customWidth="1" width="7.6640625"/>
    <col min="18" max="18" customWidth="1" width="7.6640625"/>
    <col min="19" max="19" customWidth="1" width="7.6640625"/>
    <col min="20" max="20" customWidth="1" width="7.6640625"/>
    <col min="21" max="21" customWidth="1" width="7.6640625"/>
    <col min="22" max="22" customWidth="1" width="7.6640625"/>
    <col min="23" max="23" customWidth="1" width="7.6640625"/>
    <col min="24" max="24" customWidth="1" width="7.6640625"/>
    <col min="25" max="25" customWidth="1" width="7.6640625"/>
    <col min="26" max="26" customWidth="1" width="7.6640625"/>
    <col min="27" max="27" customWidth="1" width="7.6640625"/>
    <col min="28" max="28" customWidth="1" width="7.6640625"/>
    <col min="29" max="29" customWidth="1" width="7.6640625"/>
    <col min="30" max="30" customWidth="1" width="7.6640625"/>
    <col min="31" max="31" customWidth="1" width="7.6640625"/>
    <col min="32" max="32" customWidth="1" width="7.6640625"/>
    <col min="33" max="33" customWidth="1" width="7.6640625"/>
    <col min="34" max="34" customWidth="1" width="7.6640625"/>
    <col min="35" max="35" customWidth="1" width="7.6640625"/>
    <col min="36" max="36" customWidth="1" width="7.6640625"/>
    <col min="37" max="37" customWidth="1" width="12.6640625"/>
    <col min="38" max="38" customWidth="1" width="12.6640625"/>
    <col min="39" max="39" customWidth="1" width="12.6640625"/>
    <col min="40" max="40" customWidth="1" width="12.6640625"/>
    <col min="41" max="41" customWidth="1" width="12.6640625"/>
    <col min="42" max="42" customWidth="1" width="12.6640625"/>
    <col min="43" max="43" customWidth="1" width="12.6640625"/>
    <col min="44" max="44" customWidth="1" width="12.6640625"/>
    <col min="45" max="45" customWidth="1" width="12.6640625"/>
    <col min="46" max="46" customWidth="1" width="12.6640625"/>
    <col min="47" max="47" customWidth="1" width="12.6640625"/>
    <col min="48" max="48" customWidth="1" width="12.6640625"/>
    <col min="49" max="49" customWidth="1" width="14.109375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 ht="50.25" customHeight="1">
      <c r="A1" t="str">
        <v>HENC &amp; TCN Zone</v>
      </c>
      <c r="G1" t="str">
        <v xml:space="preserve"> </v>
      </c>
      <c r="AK1" t="str">
        <v>근무일</v>
      </c>
      <c r="AL1">
        <v>31</v>
      </c>
      <c r="AM1" t="str">
        <v>휴일</v>
      </c>
      <c r="AN1">
        <v>5</v>
      </c>
      <c r="AR1" t="str">
        <v>Note: Monthly_ Salary is always calculated by 30 days.</v>
      </c>
    </row>
    <row r="2" ht="43.5" customHeight="1" xml:space="preserve">
      <c r="A2" t="str">
        <v>No,</v>
      </c>
      <c r="B2" t="str">
        <v>E/N</v>
      </c>
      <c r="C2" t="str">
        <v>Name</v>
      </c>
      <c r="D2" t="str" xml:space="preserve">
        <v xml:space="preserve">Salary/_x000d_
Hourly</v>
      </c>
      <c r="E2" t="str">
        <v>TIME</v>
      </c>
      <c r="F2" t="str">
        <v>07월</v>
      </c>
      <c r="AK2" t="str">
        <v>기본근무</v>
      </c>
      <c r="AM2" t="str">
        <v>평일근무 OT</v>
      </c>
      <c r="AP2" t="str">
        <v>휴일근무  OT</v>
      </c>
      <c r="AR2" t="str" xml:space="preserve">
        <v xml:space="preserve">월급여 _x000d_
($)</v>
      </c>
      <c r="AS2" t="str" xml:space="preserve">
        <v xml:space="preserve">기본급_x000d_
($)</v>
      </c>
      <c r="AT2" t="str" xml:space="preserve">
        <v xml:space="preserve">평일OT_x000d_
($)</v>
      </c>
      <c r="AU2" t="str" xml:space="preserve">
        <v xml:space="preserve">휴일OT_x000d_
($)</v>
      </c>
      <c r="AV2" t="str">
        <v>보너스</v>
      </c>
    </row>
    <row r="3" ht="38.25" customHeight="1"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>
        <v>22</v>
      </c>
      <c r="AB3" s="1">
        <v>23</v>
      </c>
      <c r="AC3" s="1">
        <v>24</v>
      </c>
      <c r="AD3" s="1">
        <v>25</v>
      </c>
      <c r="AE3" s="1">
        <v>26</v>
      </c>
      <c r="AF3">
        <v>27</v>
      </c>
      <c r="AG3">
        <v>28</v>
      </c>
      <c r="AH3">
        <v>29</v>
      </c>
      <c r="AI3">
        <v>30</v>
      </c>
      <c r="AJ3">
        <v>31</v>
      </c>
      <c r="AK3" t="str">
        <v>B/W</v>
      </c>
      <c r="AL3" t="str">
        <v>B/O</v>
      </c>
      <c r="AM3" t="str">
        <v>합계</v>
      </c>
      <c r="AN3">
        <v>1.5</v>
      </c>
      <c r="AO3" s="2">
        <v>2</v>
      </c>
      <c r="AP3" t="str">
        <v>횟수</v>
      </c>
      <c r="AQ3" t="str">
        <v>합 계</v>
      </c>
    </row>
    <row r="4" ht="23.100000000000005" customHeight="1">
      <c r="A4">
        <v>1</v>
      </c>
      <c r="B4">
        <v>9000001</v>
      </c>
      <c r="C4" t="str">
        <v>WORKER 01</v>
      </c>
      <c r="D4">
        <v>1.09</v>
      </c>
      <c r="E4" t="str">
        <v>IN</v>
      </c>
      <c r="F4" s="3">
        <v>0.25</v>
      </c>
      <c r="G4" s="3">
        <v>0.25</v>
      </c>
      <c r="H4" s="3">
        <v>0.25</v>
      </c>
      <c r="I4" s="3">
        <v>0.25</v>
      </c>
      <c r="J4" s="3">
        <v>0.25</v>
      </c>
      <c r="K4" s="3">
        <v>0.25</v>
      </c>
      <c r="L4" s="3">
        <v>0.25</v>
      </c>
      <c r="M4" s="3">
        <v>0.25</v>
      </c>
      <c r="N4" s="3">
        <v>0.25</v>
      </c>
      <c r="O4" s="3">
        <v>0.25</v>
      </c>
      <c r="P4" s="3">
        <v>0.25</v>
      </c>
      <c r="Q4" s="3">
        <v>0.25</v>
      </c>
      <c r="R4" s="3">
        <v>0.25</v>
      </c>
      <c r="S4" s="3">
        <v>0.25</v>
      </c>
      <c r="T4" s="3">
        <v>0.25</v>
      </c>
      <c r="U4" s="3">
        <v>0.25</v>
      </c>
      <c r="V4" s="3">
        <v>0.25</v>
      </c>
      <c r="W4" s="3">
        <v>0.25</v>
      </c>
      <c r="X4" s="3">
        <v>0.25</v>
      </c>
      <c r="Y4" s="3">
        <v>0.25</v>
      </c>
      <c r="Z4" s="3">
        <v>0.25</v>
      </c>
      <c r="AA4" s="3">
        <v>0.25</v>
      </c>
      <c r="AB4" s="3">
        <v>0.25</v>
      </c>
      <c r="AC4" s="3">
        <v>0.25</v>
      </c>
      <c r="AD4" s="3">
        <v>0.25</v>
      </c>
      <c r="AE4" s="3">
        <v>0.25</v>
      </c>
      <c r="AF4" s="3">
        <v>0.25</v>
      </c>
      <c r="AG4" s="3">
        <v>0.25</v>
      </c>
      <c r="AH4" s="3">
        <v>0.25</v>
      </c>
      <c r="AI4" s="3">
        <v>0.25</v>
      </c>
      <c r="AJ4" s="3">
        <v>0.25</v>
      </c>
      <c r="AK4" s="1">
        <f>SUM(F6:AJ6)</f>
        <v>248</v>
      </c>
      <c r="AL4">
        <f>(AL$1-AN$1)*2</f>
        <v>52</v>
      </c>
      <c r="AM4" s="2">
        <f>SUM(AN4:AO8)</f>
        <v>130</v>
      </c>
      <c r="AN4" s="2">
        <f>SUM(F7:AJ7)-AL4</f>
        <v>52</v>
      </c>
      <c r="AO4" s="2">
        <f>SUM(F8:AJ8)-AQ4</f>
        <v>78</v>
      </c>
      <c r="AP4" s="4">
        <f>COUNT(IF(H8&gt;0,COUNT(H8),""),IF(O8&gt;0,COUNT(O8),""),IF(V8&gt;0,COUNT(V8),""),IF(AC8&gt;0,COUNT(AC8),""),IF(AJ8&gt;0,COUNT(AJ8),""))</f>
        <v>5</v>
      </c>
      <c r="AQ4" s="5">
        <f>H8+O8+V8+AC8+AJ8</f>
        <v>70</v>
      </c>
      <c r="AR4" s="6">
        <f>SUM(AS4:AV8)</f>
        <v>763.0000000000001</v>
      </c>
      <c r="AS4" s="6">
        <f>AK4*D4+AL4*D4*1.5</f>
        <v>355.34000000000003</v>
      </c>
      <c r="AT4" s="6">
        <f>AN4*D4*1.5+AO4*D4*2</f>
        <v>255.06000000000003</v>
      </c>
      <c r="AU4" s="6">
        <f>AQ4*D4*2</f>
        <v>152.60000000000002</v>
      </c>
      <c r="AV4" s="6">
        <v>0</v>
      </c>
    </row>
    <row r="5" ht="23.100000000000005" customHeight="1">
      <c r="E5" t="str">
        <v>OUT</v>
      </c>
      <c r="F5" s="3">
        <v>0.9583333333333334</v>
      </c>
      <c r="G5" s="3">
        <v>0.9583333333333334</v>
      </c>
      <c r="H5" s="3">
        <v>0.9166666666666666</v>
      </c>
      <c r="I5" s="3">
        <v>0.9583333333333334</v>
      </c>
      <c r="J5" s="3">
        <v>0.9583333333333334</v>
      </c>
      <c r="K5" s="3">
        <v>0.9583333333333334</v>
      </c>
      <c r="L5" s="3">
        <v>0.9583333333333334</v>
      </c>
      <c r="M5" s="3">
        <v>0.9583333333333334</v>
      </c>
      <c r="N5" s="3">
        <v>0.9583333333333334</v>
      </c>
      <c r="O5" s="3">
        <v>0.9166666666666666</v>
      </c>
      <c r="P5" s="3">
        <v>0.9583333333333334</v>
      </c>
      <c r="Q5" s="3">
        <v>0.9583333333333334</v>
      </c>
      <c r="R5" s="3">
        <v>0.9583333333333334</v>
      </c>
      <c r="S5" s="3">
        <v>0.9583333333333334</v>
      </c>
      <c r="T5" s="3">
        <v>0.9583333333333334</v>
      </c>
      <c r="U5" s="3">
        <v>0.9583333333333334</v>
      </c>
      <c r="V5" s="3">
        <v>0.9166666666666666</v>
      </c>
      <c r="W5" s="3">
        <v>0.9583333333333334</v>
      </c>
      <c r="X5" s="3">
        <v>0.9583333333333334</v>
      </c>
      <c r="Y5" s="3">
        <v>0.9583333333333334</v>
      </c>
      <c r="Z5" s="3">
        <v>0.9583333333333334</v>
      </c>
      <c r="AA5" s="3">
        <v>0.9583333333333334</v>
      </c>
      <c r="AB5" s="3">
        <v>0.9583333333333334</v>
      </c>
      <c r="AC5" s="3">
        <v>0.9166666666666666</v>
      </c>
      <c r="AD5" s="3">
        <v>0.9583333333333334</v>
      </c>
      <c r="AE5" s="3">
        <v>0.9583333333333334</v>
      </c>
      <c r="AF5" s="3">
        <v>0.9583333333333334</v>
      </c>
      <c r="AG5" s="3">
        <v>0.9583333333333334</v>
      </c>
      <c r="AH5" s="3">
        <v>0.9583333333333334</v>
      </c>
      <c r="AI5" s="3">
        <v>0.9583333333333334</v>
      </c>
      <c r="AJ5" s="3">
        <v>0.9166666666666666</v>
      </c>
    </row>
    <row r="6" ht="23.100000000000005" customHeight="1">
      <c r="E6" t="str">
        <v>B/W</v>
      </c>
      <c r="F6">
        <v>8</v>
      </c>
      <c r="G6">
        <v>8</v>
      </c>
      <c r="H6">
        <v>8</v>
      </c>
      <c r="I6">
        <v>8</v>
      </c>
      <c r="J6">
        <v>8</v>
      </c>
      <c r="K6">
        <v>8</v>
      </c>
      <c r="L6">
        <v>8</v>
      </c>
      <c r="M6">
        <v>8</v>
      </c>
      <c r="N6">
        <v>8</v>
      </c>
      <c r="O6">
        <v>8</v>
      </c>
      <c r="P6">
        <v>8</v>
      </c>
      <c r="Q6">
        <v>8</v>
      </c>
      <c r="R6">
        <v>8</v>
      </c>
      <c r="S6">
        <v>8</v>
      </c>
      <c r="T6">
        <v>8</v>
      </c>
      <c r="U6">
        <v>8</v>
      </c>
      <c r="V6">
        <v>8</v>
      </c>
      <c r="W6">
        <v>8</v>
      </c>
      <c r="X6">
        <v>8</v>
      </c>
      <c r="Y6">
        <v>8</v>
      </c>
      <c r="Z6">
        <v>8</v>
      </c>
      <c r="AA6">
        <v>8</v>
      </c>
      <c r="AB6">
        <v>8</v>
      </c>
      <c r="AC6">
        <v>8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</row>
    <row r="7" ht="23.100000000000005" customHeight="1">
      <c r="E7" t="str">
        <v>B/O</v>
      </c>
      <c r="F7">
        <v>4</v>
      </c>
      <c r="G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</row>
    <row r="8" ht="23.100000000000005" customHeight="1">
      <c r="E8" t="str">
        <v>E/O</v>
      </c>
      <c r="F8">
        <v>3</v>
      </c>
      <c r="G8">
        <v>3</v>
      </c>
      <c r="H8">
        <v>14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14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14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14</v>
      </c>
      <c r="AD8">
        <v>3</v>
      </c>
      <c r="AE8">
        <v>3</v>
      </c>
      <c r="AF8">
        <v>3</v>
      </c>
      <c r="AG8">
        <v>3</v>
      </c>
      <c r="AH8">
        <v>3</v>
      </c>
      <c r="AI8">
        <v>3</v>
      </c>
      <c r="AJ8">
        <v>14</v>
      </c>
    </row>
    <row r="9" ht="23.100000000000005" customHeight="1">
      <c r="A9">
        <v>2</v>
      </c>
      <c r="B9">
        <v>9000002</v>
      </c>
      <c r="C9" t="str">
        <v>WORKER 02</v>
      </c>
      <c r="D9" s="7">
        <v>0.96</v>
      </c>
      <c r="E9" t="str">
        <v>IN</v>
      </c>
      <c r="F9" s="3">
        <v>0.2916666666666667</v>
      </c>
      <c r="G9" s="3">
        <v>0.2916666666666667</v>
      </c>
      <c r="H9" s="3">
        <v>0.3333333333333333</v>
      </c>
      <c r="I9" s="3">
        <v>0.2916666666666667</v>
      </c>
      <c r="J9" s="3">
        <v>0.2916666666666667</v>
      </c>
      <c r="K9" s="3">
        <v>0.2916666666666667</v>
      </c>
      <c r="L9" s="3">
        <v>0.2916666666666667</v>
      </c>
      <c r="M9" s="3">
        <v>0.2916666666666667</v>
      </c>
      <c r="N9" s="3">
        <v>0.2916666666666667</v>
      </c>
      <c r="O9" s="3">
        <v>0.3333333333333333</v>
      </c>
      <c r="P9" s="3">
        <v>0.2916666666666667</v>
      </c>
      <c r="Q9" s="3">
        <v>0.2916666666666667</v>
      </c>
      <c r="R9" s="3">
        <v>0.2916666666666667</v>
      </c>
      <c r="S9" s="3">
        <v>0.2916666666666667</v>
      </c>
      <c r="T9" s="3">
        <v>0.2916666666666667</v>
      </c>
      <c r="U9" s="3">
        <v>0.2916666666666667</v>
      </c>
      <c r="V9" s="3">
        <v>0.3333333333333333</v>
      </c>
      <c r="W9" s="3">
        <v>0.2916666666666667</v>
      </c>
      <c r="X9" s="3">
        <v>0.2916666666666667</v>
      </c>
      <c r="Y9" s="3">
        <v>0.2916666666666667</v>
      </c>
      <c r="Z9" s="3">
        <v>0.2916666666666667</v>
      </c>
      <c r="AA9" s="3">
        <v>0.2916666666666667</v>
      </c>
      <c r="AB9" s="3">
        <v>0.2916666666666667</v>
      </c>
      <c r="AC9" s="3">
        <v>0.3333333333333333</v>
      </c>
      <c r="AD9" s="3">
        <v>0.2916666666666667</v>
      </c>
      <c r="AE9" s="3">
        <v>0.2916666666666667</v>
      </c>
      <c r="AF9" s="3">
        <v>0.2916666666666667</v>
      </c>
      <c r="AG9" s="3">
        <v>0.2916666666666667</v>
      </c>
      <c r="AH9" s="3">
        <v>0.2916666666666667</v>
      </c>
      <c r="AI9" s="3">
        <v>0.2916666666666667</v>
      </c>
      <c r="AJ9" s="3">
        <v>0.3333333333333333</v>
      </c>
      <c r="AK9" s="1">
        <f>SUM(F11:AJ11)</f>
        <v>248</v>
      </c>
      <c r="AL9">
        <f>(AL$1-AN$1)*2</f>
        <v>52</v>
      </c>
      <c r="AM9" s="2">
        <f>SUM(AN9:AO13)</f>
        <v>78</v>
      </c>
      <c r="AN9" s="2">
        <f>SUM(F12:AJ12)-AL9</f>
        <v>52</v>
      </c>
      <c r="AO9" s="2">
        <f>SUM(F13:AJ13)-AQ9</f>
        <v>26</v>
      </c>
      <c r="AP9" s="4">
        <f>COUNT(IF(H13&gt;0,COUNT(H13),""),IF(O13&gt;0,COUNT(O13),""),IF(V13&gt;0,COUNT(V13),""),IF(AC13&gt;0,COUNT(AC13),""),IF(AJ13&gt;0,COUNT(AJ13),""))</f>
        <v>5</v>
      </c>
      <c r="AQ9" s="2">
        <f>H13+O13+V13+AC13+AJ13</f>
        <v>52.5</v>
      </c>
      <c r="AR9" s="6">
        <f>SUM(AS9:AV13)</f>
        <v>538.56</v>
      </c>
      <c r="AS9" s="6">
        <f>AK9*D9+AL9*D9*1.5</f>
        <v>312.96</v>
      </c>
      <c r="AT9" s="6">
        <f>AN9*D9*1.5+AO9*D9*2</f>
        <v>124.8</v>
      </c>
      <c r="AU9" s="6">
        <f>AQ9*D9*2</f>
        <v>100.8</v>
      </c>
      <c r="AV9" s="6">
        <v>0</v>
      </c>
    </row>
    <row r="10" ht="23.100000000000005" customHeight="1">
      <c r="E10" t="str">
        <v>OUT</v>
      </c>
      <c r="F10" s="3">
        <v>0.9166666666666666</v>
      </c>
      <c r="G10" s="3">
        <v>0.9166666666666666</v>
      </c>
      <c r="H10" s="3">
        <v>0.8541666666666666</v>
      </c>
      <c r="I10" s="3">
        <v>0.9166666666666666</v>
      </c>
      <c r="J10" s="3">
        <v>0.9166666666666666</v>
      </c>
      <c r="K10" s="3">
        <v>0.9166666666666666</v>
      </c>
      <c r="L10" s="3">
        <v>0.9166666666666666</v>
      </c>
      <c r="M10" s="3">
        <v>0.9166666666666666</v>
      </c>
      <c r="N10" s="3">
        <v>0.9166666666666666</v>
      </c>
      <c r="O10" s="3">
        <v>0.8541666666666666</v>
      </c>
      <c r="P10" s="3">
        <v>0.9166666666666666</v>
      </c>
      <c r="Q10" s="3">
        <v>0.9166666666666666</v>
      </c>
      <c r="R10" s="3">
        <v>0.9166666666666666</v>
      </c>
      <c r="S10" s="3">
        <v>0.9166666666666666</v>
      </c>
      <c r="T10" s="3">
        <v>0.9166666666666666</v>
      </c>
      <c r="U10" s="3">
        <v>0.9166666666666666</v>
      </c>
      <c r="V10" s="3">
        <v>0.8541666666666666</v>
      </c>
      <c r="W10" s="3">
        <v>0.9166666666666666</v>
      </c>
      <c r="X10" s="3">
        <v>0.9166666666666666</v>
      </c>
      <c r="Y10" s="3">
        <v>0.9166666666666666</v>
      </c>
      <c r="Z10" s="3">
        <v>0.9166666666666666</v>
      </c>
      <c r="AA10" s="3">
        <v>0.9166666666666666</v>
      </c>
      <c r="AB10" s="3">
        <v>0.9166666666666666</v>
      </c>
      <c r="AC10" s="3">
        <v>0.8541666666666666</v>
      </c>
      <c r="AD10" s="3">
        <v>0.9166666666666666</v>
      </c>
      <c r="AE10" s="3">
        <v>0.9166666666666666</v>
      </c>
      <c r="AF10" s="3">
        <v>0.9166666666666666</v>
      </c>
      <c r="AG10" s="3">
        <v>0.9166666666666666</v>
      </c>
      <c r="AH10" s="3">
        <v>0.9166666666666666</v>
      </c>
      <c r="AI10" s="3">
        <v>0.9166666666666666</v>
      </c>
      <c r="AJ10" s="3">
        <v>0.8541666666666666</v>
      </c>
    </row>
    <row r="11" ht="23.100000000000005" customHeight="1">
      <c r="E11" t="str">
        <v>B/W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  <c r="O11">
        <v>8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  <c r="V11">
        <v>8</v>
      </c>
      <c r="W11">
        <v>8</v>
      </c>
      <c r="X11">
        <v>8</v>
      </c>
      <c r="Y11">
        <v>8</v>
      </c>
      <c r="Z11">
        <v>8</v>
      </c>
      <c r="AA11">
        <v>8</v>
      </c>
      <c r="AB11">
        <v>8</v>
      </c>
      <c r="AC11">
        <v>8</v>
      </c>
      <c r="AD11">
        <v>8</v>
      </c>
      <c r="AE11">
        <v>8</v>
      </c>
      <c r="AF11">
        <v>8</v>
      </c>
      <c r="AG11">
        <v>8</v>
      </c>
      <c r="AH11">
        <v>8</v>
      </c>
      <c r="AI11">
        <v>8</v>
      </c>
      <c r="AJ11">
        <v>8</v>
      </c>
    </row>
    <row r="12" ht="23.100000000000005" customHeight="1">
      <c r="E12" t="str">
        <v>B/O</v>
      </c>
      <c r="F12">
        <v>4</v>
      </c>
      <c r="G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</row>
    <row r="13" ht="23.100000000000005" customHeight="1">
      <c r="E13" t="str">
        <v>E/O</v>
      </c>
      <c r="F13">
        <v>1</v>
      </c>
      <c r="G13">
        <v>1</v>
      </c>
      <c r="H13">
        <v>10.5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10.5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10.5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10.5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10.5</v>
      </c>
    </row>
    <row r="14" ht="23.100000000000005" customHeight="1">
      <c r="A14">
        <v>3</v>
      </c>
      <c r="B14">
        <v>9000003</v>
      </c>
      <c r="C14" t="str">
        <v>WORKER 03</v>
      </c>
      <c r="D14">
        <v>1.88</v>
      </c>
      <c r="E14" t="str">
        <v>IN</v>
      </c>
      <c r="F14" s="3">
        <v>0.2916666666666667</v>
      </c>
      <c r="G14" s="3">
        <v>0.2916666666666667</v>
      </c>
      <c r="H14" s="3">
        <v>0.3333333333333333</v>
      </c>
      <c r="I14" s="3">
        <v>0.3333333333333333</v>
      </c>
      <c r="J14" s="3">
        <v>0.2916666666666667</v>
      </c>
      <c r="K14" s="3">
        <v>0.2916666666666667</v>
      </c>
      <c r="L14" s="3">
        <v>0.2916666666666667</v>
      </c>
      <c r="M14" s="3">
        <v>0.2916666666666667</v>
      </c>
      <c r="N14" s="3">
        <v>0.2916666666666667</v>
      </c>
      <c r="O14" s="3">
        <v>0.3333333333333333</v>
      </c>
      <c r="P14" s="3">
        <v>0.3333333333333333</v>
      </c>
      <c r="Q14" s="3">
        <v>0.2916666666666667</v>
      </c>
      <c r="R14" s="3">
        <v>0.2916666666666667</v>
      </c>
      <c r="S14" s="3">
        <v>0.2916666666666667</v>
      </c>
      <c r="T14" s="3">
        <v>0.2916666666666667</v>
      </c>
      <c r="U14" s="3">
        <v>0.2916666666666667</v>
      </c>
      <c r="V14" s="3">
        <v>0.3333333333333333</v>
      </c>
      <c r="W14" s="3">
        <v>0.3333333333333333</v>
      </c>
      <c r="X14" s="3">
        <v>0.2916666666666667</v>
      </c>
      <c r="Y14" s="3">
        <v>0.2916666666666667</v>
      </c>
      <c r="Z14" s="3">
        <v>0.2916666666666667</v>
      </c>
      <c r="AA14" s="3">
        <v>0.2916666666666667</v>
      </c>
      <c r="AB14" s="3">
        <v>0.2916666666666667</v>
      </c>
      <c r="AC14" s="3">
        <v>0.3333333333333333</v>
      </c>
      <c r="AD14" s="3">
        <v>0.3333333333333333</v>
      </c>
      <c r="AE14" s="3">
        <v>0.2916666666666667</v>
      </c>
      <c r="AF14" s="3">
        <v>0.2916666666666667</v>
      </c>
      <c r="AG14" s="3">
        <v>0.2916666666666667</v>
      </c>
      <c r="AH14" s="3">
        <v>0.2916666666666667</v>
      </c>
      <c r="AI14" s="3">
        <v>0.2916666666666667</v>
      </c>
      <c r="AJ14" s="3">
        <v>0.3333333333333333</v>
      </c>
      <c r="AK14" s="1">
        <f>SUM(F16:AJ16)</f>
        <v>248</v>
      </c>
      <c r="AL14">
        <f>(AL$1-AN$1)*2</f>
        <v>52</v>
      </c>
      <c r="AM14" s="2">
        <f>SUM(AN14:AO18)</f>
        <v>37</v>
      </c>
      <c r="AN14" s="2">
        <f>SUM(F17:AJ17)-AL14</f>
        <v>28</v>
      </c>
      <c r="AO14" s="2">
        <f>SUM(F18:AJ18)-AQ14</f>
        <v>9</v>
      </c>
      <c r="AP14" s="4">
        <f>COUNT(IF(H18&gt;0,COUNT(H18),""),IF(O18&gt;0,COUNT(O18),""),IF(V18&gt;0,COUNT(V18),""),IF(AC18&gt;0,COUNT(AC18),""),IF(AJ18&gt;0,COUNT(AJ18),""))</f>
        <v>5</v>
      </c>
      <c r="AQ14" s="5">
        <f>H18+O18+V18+AC18+AJ18</f>
        <v>60</v>
      </c>
      <c r="AR14" s="6">
        <f>SUM(AS14:AV18)</f>
        <v>951.2799999999999</v>
      </c>
      <c r="AS14" s="6">
        <f>AK14*D14+AL14*D14*1.5</f>
        <v>612.8799999999999</v>
      </c>
      <c r="AT14" s="6">
        <f>AN14*D14*1.5+AO14*D14*2</f>
        <v>112.80000000000001</v>
      </c>
      <c r="AU14" s="6">
        <f>AQ14*D14*2</f>
        <v>225.6</v>
      </c>
      <c r="AV14" s="6">
        <v>0</v>
      </c>
    </row>
    <row r="15" ht="23.100000000000005" customHeight="1">
      <c r="E15" t="str">
        <v>OUT</v>
      </c>
      <c r="F15" s="3">
        <v>0.75</v>
      </c>
      <c r="G15" s="3">
        <v>0.9166666666666666</v>
      </c>
      <c r="H15" s="3">
        <v>0.9166666666666666</v>
      </c>
      <c r="I15" s="3">
        <v>0.9166666666666666</v>
      </c>
      <c r="J15" s="3">
        <v>0.75</v>
      </c>
      <c r="K15" s="3">
        <v>0.9166666666666666</v>
      </c>
      <c r="L15" s="3">
        <v>0.75</v>
      </c>
      <c r="M15" s="3">
        <v>0.9166666666666666</v>
      </c>
      <c r="N15" s="3">
        <v>0.9166666666666666</v>
      </c>
      <c r="O15" s="3">
        <v>0.9166666666666666</v>
      </c>
      <c r="P15" s="3">
        <v>0.9166666666666666</v>
      </c>
      <c r="Q15" s="3">
        <v>0.75</v>
      </c>
      <c r="R15" s="3">
        <v>0.75</v>
      </c>
      <c r="S15" s="3">
        <v>0.9166666666666666</v>
      </c>
      <c r="T15" s="3">
        <v>0.75</v>
      </c>
      <c r="U15" s="3">
        <v>0.9166666666666666</v>
      </c>
      <c r="V15" s="3">
        <v>0.9166666666666666</v>
      </c>
      <c r="W15" s="3">
        <v>0.9166666666666666</v>
      </c>
      <c r="X15" s="3">
        <v>0.75</v>
      </c>
      <c r="Y15" s="3">
        <v>0.75</v>
      </c>
      <c r="Z15" s="3">
        <v>0.75</v>
      </c>
      <c r="AA15" s="3">
        <v>0.875</v>
      </c>
      <c r="AB15" s="3">
        <v>0.9166666666666666</v>
      </c>
      <c r="AC15" s="3">
        <v>0.9166666666666666</v>
      </c>
      <c r="AD15" s="3">
        <v>0.9166666666666666</v>
      </c>
      <c r="AE15" s="3">
        <v>0.75</v>
      </c>
      <c r="AF15" s="3">
        <v>0.75</v>
      </c>
      <c r="AG15" s="3">
        <v>0.75</v>
      </c>
      <c r="AH15" s="3">
        <v>0.9166666666666666</v>
      </c>
      <c r="AI15" s="3">
        <v>0.9166666666666666</v>
      </c>
      <c r="AJ15" s="3">
        <v>0.9166666666666666</v>
      </c>
    </row>
    <row r="16" ht="23.100000000000005" customHeight="1">
      <c r="E16" t="str">
        <v>B/W</v>
      </c>
      <c r="F16">
        <v>8</v>
      </c>
      <c r="G16">
        <v>8</v>
      </c>
      <c r="H16">
        <v>8</v>
      </c>
      <c r="I16">
        <v>8</v>
      </c>
      <c r="J16">
        <v>8</v>
      </c>
      <c r="K16">
        <v>8</v>
      </c>
      <c r="L16">
        <v>8</v>
      </c>
      <c r="M16">
        <v>8</v>
      </c>
      <c r="N16">
        <v>8</v>
      </c>
      <c r="O16">
        <v>8</v>
      </c>
      <c r="P16">
        <v>8</v>
      </c>
      <c r="Q16">
        <v>8</v>
      </c>
      <c r="R16">
        <v>8</v>
      </c>
      <c r="S16">
        <v>8</v>
      </c>
      <c r="T16">
        <v>8</v>
      </c>
      <c r="U16">
        <v>8</v>
      </c>
      <c r="V16">
        <v>8</v>
      </c>
      <c r="W16">
        <v>8</v>
      </c>
      <c r="X16">
        <v>8</v>
      </c>
      <c r="Y16">
        <v>8</v>
      </c>
      <c r="Z16">
        <v>8</v>
      </c>
      <c r="AA16">
        <v>8</v>
      </c>
      <c r="AB16">
        <v>8</v>
      </c>
      <c r="AC16">
        <v>8</v>
      </c>
      <c r="AD16">
        <v>8</v>
      </c>
      <c r="AE16">
        <v>8</v>
      </c>
      <c r="AF16">
        <v>8</v>
      </c>
      <c r="AG16">
        <v>8</v>
      </c>
      <c r="AH16">
        <v>8</v>
      </c>
      <c r="AI16">
        <v>8</v>
      </c>
      <c r="AJ16">
        <v>8</v>
      </c>
    </row>
    <row r="17" ht="23.100000000000005" customHeight="1">
      <c r="E17" t="str">
        <v>B/O</v>
      </c>
      <c r="F17">
        <v>2</v>
      </c>
      <c r="G17">
        <v>4</v>
      </c>
      <c r="I17">
        <v>4</v>
      </c>
      <c r="J17">
        <v>2</v>
      </c>
      <c r="K17">
        <v>4</v>
      </c>
      <c r="L17">
        <v>2</v>
      </c>
      <c r="M17">
        <v>4</v>
      </c>
      <c r="N17">
        <v>4</v>
      </c>
      <c r="P17">
        <v>4</v>
      </c>
      <c r="Q17">
        <v>2</v>
      </c>
      <c r="R17">
        <v>2</v>
      </c>
      <c r="S17">
        <v>4</v>
      </c>
      <c r="T17">
        <v>2</v>
      </c>
      <c r="U17">
        <v>4</v>
      </c>
      <c r="W17">
        <v>4</v>
      </c>
      <c r="X17">
        <v>2</v>
      </c>
      <c r="Y17">
        <v>2</v>
      </c>
      <c r="Z17">
        <v>2</v>
      </c>
      <c r="AA17">
        <v>4</v>
      </c>
      <c r="AB17">
        <v>4</v>
      </c>
      <c r="AD17">
        <v>4</v>
      </c>
      <c r="AE17">
        <v>2</v>
      </c>
      <c r="AF17">
        <v>2</v>
      </c>
      <c r="AG17">
        <v>2</v>
      </c>
      <c r="AH17">
        <v>4</v>
      </c>
      <c r="AI17">
        <v>4</v>
      </c>
    </row>
    <row r="18" ht="23.100000000000005" customHeight="1">
      <c r="E18" t="str">
        <v>E/O</v>
      </c>
      <c r="G18">
        <v>1</v>
      </c>
      <c r="H18">
        <v>12</v>
      </c>
      <c r="K18">
        <v>1</v>
      </c>
      <c r="M18">
        <v>1</v>
      </c>
      <c r="N18">
        <v>1</v>
      </c>
      <c r="O18">
        <v>12</v>
      </c>
      <c r="S18">
        <v>1</v>
      </c>
      <c r="U18">
        <v>1</v>
      </c>
      <c r="V18">
        <v>12</v>
      </c>
      <c r="AB18">
        <v>1</v>
      </c>
      <c r="AC18">
        <v>12</v>
      </c>
      <c r="AH18">
        <v>1</v>
      </c>
      <c r="AI18">
        <v>1</v>
      </c>
      <c r="AJ18">
        <v>12</v>
      </c>
    </row>
    <row r="19" ht="23.100000000000005" customHeight="1">
      <c r="A19">
        <v>4</v>
      </c>
      <c r="B19">
        <v>9000004</v>
      </c>
      <c r="C19" t="str">
        <v>WORKER 04</v>
      </c>
      <c r="D19" s="7">
        <v>0.92</v>
      </c>
      <c r="E19" t="str">
        <v>IN</v>
      </c>
      <c r="F19" s="3">
        <v>0.2708333333333333</v>
      </c>
      <c r="G19" s="3">
        <v>0.2708333333333333</v>
      </c>
      <c r="H19" s="3">
        <v>0.3333333333333333</v>
      </c>
      <c r="I19" s="3">
        <v>0.2708333333333333</v>
      </c>
      <c r="J19" s="3">
        <v>0.2708333333333333</v>
      </c>
      <c r="K19" s="3">
        <v>0.2708333333333333</v>
      </c>
      <c r="L19" s="3">
        <v>0.2708333333333333</v>
      </c>
      <c r="M19" s="3">
        <v>0.2708333333333333</v>
      </c>
      <c r="N19" s="3">
        <v>0.2708333333333333</v>
      </c>
      <c r="O19" s="3">
        <v>0.3333333333333333</v>
      </c>
      <c r="P19" s="3">
        <v>0.2708333333333333</v>
      </c>
      <c r="Q19" s="3">
        <v>0.2708333333333333</v>
      </c>
      <c r="R19" s="3">
        <v>0.2708333333333333</v>
      </c>
      <c r="S19" s="3">
        <v>0.2708333333333333</v>
      </c>
      <c r="T19" s="3">
        <v>0.2708333333333333</v>
      </c>
      <c r="U19" s="3">
        <v>0.2708333333333333</v>
      </c>
      <c r="V19" s="3">
        <v>0.3333333333333333</v>
      </c>
      <c r="W19" s="3">
        <v>0.2708333333333333</v>
      </c>
      <c r="X19" s="3">
        <v>0.2708333333333333</v>
      </c>
      <c r="Y19" s="3">
        <v>0.2708333333333333</v>
      </c>
      <c r="Z19" s="3">
        <v>0.2708333333333333</v>
      </c>
      <c r="AA19" s="3">
        <v>0.2708333333333333</v>
      </c>
      <c r="AB19" s="3">
        <v>0.2708333333333333</v>
      </c>
      <c r="AC19" s="3">
        <v>0.3333333333333333</v>
      </c>
      <c r="AD19" s="3">
        <v>0.2708333333333333</v>
      </c>
      <c r="AE19" s="3">
        <v>0.2708333333333333</v>
      </c>
      <c r="AF19" s="3">
        <v>0.2708333333333333</v>
      </c>
      <c r="AG19" s="3">
        <v>0.2708333333333333</v>
      </c>
      <c r="AH19" s="3">
        <v>0.2708333333333333</v>
      </c>
      <c r="AI19" s="3">
        <v>0.2708333333333333</v>
      </c>
      <c r="AJ19" s="3">
        <v>0.3333333333333333</v>
      </c>
      <c r="AK19" s="1">
        <f>SUM(F21:AJ21)</f>
        <v>248</v>
      </c>
      <c r="AL19">
        <f>(AL$1-AN$1)*2</f>
        <v>52</v>
      </c>
      <c r="AM19" s="2">
        <f>SUM(AN19:AO23)</f>
        <v>91</v>
      </c>
      <c r="AN19" s="2">
        <f>SUM(F22:AJ22)-AL19</f>
        <v>52</v>
      </c>
      <c r="AO19" s="2">
        <f>SUM(F23:AJ23)-AQ19</f>
        <v>39</v>
      </c>
      <c r="AP19" s="4">
        <f>COUNT(IF(H23&gt;0,COUNT(H23),""),IF(O23&gt;0,COUNT(O23),""),IF(V23&gt;0,COUNT(V23),""),IF(AC23&gt;0,COUNT(AC23),""),IF(AJ23&gt;0,COUNT(AJ23),""))</f>
        <v>5</v>
      </c>
      <c r="AQ19" s="2">
        <f>H23+O23+V23+AC23+AJ23</f>
        <v>52.5</v>
      </c>
      <c r="AR19" s="6">
        <f>SUM(AS19:AV23)</f>
        <v>540.0400000000001</v>
      </c>
      <c r="AS19" s="6">
        <f>AK19*D19+AL19*D19*1.5</f>
        <v>299.92</v>
      </c>
      <c r="AT19" s="6">
        <f>AN19*D19*1.5+AO19*D19*2</f>
        <v>143.52</v>
      </c>
      <c r="AU19" s="6">
        <f>AQ19*D19*2</f>
        <v>96.60000000000001</v>
      </c>
      <c r="AV19" s="6">
        <v>0</v>
      </c>
    </row>
    <row r="20" ht="23.100000000000005" customHeight="1">
      <c r="E20" t="str">
        <v>OUT</v>
      </c>
      <c r="F20" s="3">
        <v>0.9166666666666666</v>
      </c>
      <c r="G20" s="3">
        <v>0.9166666666666666</v>
      </c>
      <c r="H20" s="3">
        <v>0.8541666666666666</v>
      </c>
      <c r="I20" s="3">
        <v>0.9166666666666666</v>
      </c>
      <c r="J20" s="3">
        <v>0.9166666666666666</v>
      </c>
      <c r="K20" s="3">
        <v>0.9166666666666666</v>
      </c>
      <c r="L20" s="3">
        <v>0.9166666666666666</v>
      </c>
      <c r="M20" s="3">
        <v>0.9166666666666666</v>
      </c>
      <c r="N20" s="3">
        <v>0.9166666666666666</v>
      </c>
      <c r="O20" s="3">
        <v>0.8541666666666666</v>
      </c>
      <c r="P20" s="3">
        <v>0.9166666666666666</v>
      </c>
      <c r="Q20" s="3">
        <v>0.9166666666666666</v>
      </c>
      <c r="R20" s="3">
        <v>0.9166666666666666</v>
      </c>
      <c r="S20" s="3">
        <v>0.9166666666666666</v>
      </c>
      <c r="T20" s="3">
        <v>0.9166666666666666</v>
      </c>
      <c r="U20" s="3">
        <v>0.9166666666666666</v>
      </c>
      <c r="V20" s="3">
        <v>0.8541666666666666</v>
      </c>
      <c r="W20" s="3">
        <v>0.9166666666666666</v>
      </c>
      <c r="X20" s="3">
        <v>0.9166666666666666</v>
      </c>
      <c r="Y20" s="3">
        <v>0.9166666666666666</v>
      </c>
      <c r="Z20" s="3">
        <v>0.9166666666666666</v>
      </c>
      <c r="AA20" s="3">
        <v>0.9166666666666666</v>
      </c>
      <c r="AB20" s="3">
        <v>0.9166666666666666</v>
      </c>
      <c r="AC20" s="3">
        <v>0.8541666666666666</v>
      </c>
      <c r="AD20" s="3">
        <v>0.9166666666666666</v>
      </c>
      <c r="AE20" s="3">
        <v>0.9166666666666666</v>
      </c>
      <c r="AF20" s="3">
        <v>0.9166666666666666</v>
      </c>
      <c r="AG20" s="3">
        <v>0.9166666666666666</v>
      </c>
      <c r="AH20" s="3">
        <v>0.9166666666666666</v>
      </c>
      <c r="AI20" s="3">
        <v>0.9166666666666666</v>
      </c>
      <c r="AJ20" s="3">
        <v>0.8541666666666666</v>
      </c>
    </row>
    <row r="21" ht="23.100000000000005" customHeight="1">
      <c r="E21" t="str">
        <v>B/W</v>
      </c>
      <c r="F21">
        <v>8</v>
      </c>
      <c r="G21">
        <v>8</v>
      </c>
      <c r="H21">
        <v>8</v>
      </c>
      <c r="I21">
        <v>8</v>
      </c>
      <c r="J21">
        <v>8</v>
      </c>
      <c r="K21">
        <v>8</v>
      </c>
      <c r="L21">
        <v>8</v>
      </c>
      <c r="M21">
        <v>8</v>
      </c>
      <c r="N21">
        <v>8</v>
      </c>
      <c r="O21">
        <v>8</v>
      </c>
      <c r="P21">
        <v>8</v>
      </c>
      <c r="Q21">
        <v>8</v>
      </c>
      <c r="R21">
        <v>8</v>
      </c>
      <c r="S21">
        <v>8</v>
      </c>
      <c r="T21">
        <v>8</v>
      </c>
      <c r="U21">
        <v>8</v>
      </c>
      <c r="V21">
        <v>8</v>
      </c>
      <c r="W21">
        <v>8</v>
      </c>
      <c r="X21">
        <v>8</v>
      </c>
      <c r="Y21">
        <v>8</v>
      </c>
      <c r="Z21">
        <v>8</v>
      </c>
      <c r="AA21">
        <v>8</v>
      </c>
      <c r="AB21">
        <v>8</v>
      </c>
      <c r="AC21">
        <v>8</v>
      </c>
      <c r="AD21">
        <v>8</v>
      </c>
      <c r="AE21">
        <v>8</v>
      </c>
      <c r="AF21">
        <v>8</v>
      </c>
      <c r="AG21">
        <v>8</v>
      </c>
      <c r="AH21">
        <v>8</v>
      </c>
      <c r="AI21">
        <v>8</v>
      </c>
      <c r="AJ21">
        <v>8</v>
      </c>
    </row>
    <row r="22" ht="23.100000000000005" customHeight="1">
      <c r="E22" t="str">
        <v>B/O</v>
      </c>
      <c r="F22">
        <v>4</v>
      </c>
      <c r="G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</row>
    <row r="23" ht="23.100000000000005" customHeight="1">
      <c r="E23" t="str">
        <v>E/O</v>
      </c>
      <c r="F23">
        <v>1.5</v>
      </c>
      <c r="G23">
        <v>1.5</v>
      </c>
      <c r="H23">
        <v>10.5</v>
      </c>
      <c r="I23">
        <v>1.5</v>
      </c>
      <c r="J23">
        <v>1.5</v>
      </c>
      <c r="K23">
        <v>1.5</v>
      </c>
      <c r="L23">
        <v>1.5</v>
      </c>
      <c r="M23">
        <v>1.5</v>
      </c>
      <c r="N23">
        <v>1.5</v>
      </c>
      <c r="O23">
        <v>10.5</v>
      </c>
      <c r="P23">
        <v>1.5</v>
      </c>
      <c r="Q23">
        <v>1.5</v>
      </c>
      <c r="R23">
        <v>1.5</v>
      </c>
      <c r="S23">
        <v>1.5</v>
      </c>
      <c r="T23">
        <v>1.5</v>
      </c>
      <c r="U23">
        <v>1.5</v>
      </c>
      <c r="V23">
        <v>10.5</v>
      </c>
      <c r="W23">
        <v>1.5</v>
      </c>
      <c r="X23">
        <v>1.5</v>
      </c>
      <c r="Y23">
        <v>1.5</v>
      </c>
      <c r="Z23">
        <v>1.5</v>
      </c>
      <c r="AA23">
        <v>1.5</v>
      </c>
      <c r="AB23">
        <v>1.5</v>
      </c>
      <c r="AC23">
        <v>10.5</v>
      </c>
      <c r="AD23">
        <v>1.5</v>
      </c>
      <c r="AE23">
        <v>1.5</v>
      </c>
      <c r="AF23">
        <v>1.5</v>
      </c>
      <c r="AG23">
        <v>1.5</v>
      </c>
      <c r="AH23">
        <v>1.5</v>
      </c>
      <c r="AI23">
        <v>1.5</v>
      </c>
      <c r="AJ23">
        <v>10.5</v>
      </c>
    </row>
    <row r="24" ht="23.100000000000005" customHeight="1">
      <c r="A24">
        <v>5</v>
      </c>
      <c r="B24">
        <v>9000005</v>
      </c>
      <c r="C24" t="str">
        <v>WORKER 05</v>
      </c>
      <c r="D24" s="7">
        <v>0.92</v>
      </c>
      <c r="E24" t="str">
        <v>IN</v>
      </c>
      <c r="F24" s="3">
        <v>0.2916666666666667</v>
      </c>
      <c r="G24" s="3">
        <v>0.2916666666666667</v>
      </c>
      <c r="H24" s="3">
        <v>0.375</v>
      </c>
      <c r="I24" s="3">
        <v>0.2916666666666667</v>
      </c>
      <c r="J24" s="3">
        <v>0.2916666666666667</v>
      </c>
      <c r="K24" s="3">
        <v>0.2916666666666667</v>
      </c>
      <c r="L24" s="3">
        <v>0.2916666666666667</v>
      </c>
      <c r="M24" s="3">
        <v>0.2916666666666667</v>
      </c>
      <c r="N24" s="3">
        <v>0.2916666666666667</v>
      </c>
      <c r="O24" s="3">
        <v>0.375</v>
      </c>
      <c r="P24" s="3">
        <v>0.2916666666666667</v>
      </c>
      <c r="Q24" s="3">
        <v>0.2916666666666667</v>
      </c>
      <c r="R24" s="3">
        <v>0.2916666666666667</v>
      </c>
      <c r="S24" s="3">
        <v>0.2916666666666667</v>
      </c>
      <c r="T24" s="3">
        <v>0.2916666666666667</v>
      </c>
      <c r="U24" s="3">
        <v>0.2916666666666667</v>
      </c>
      <c r="V24" s="3">
        <v>0.375</v>
      </c>
      <c r="W24" s="3">
        <v>0.2916666666666667</v>
      </c>
      <c r="X24" s="3">
        <v>0.2916666666666667</v>
      </c>
      <c r="Y24" s="3">
        <v>0.2916666666666667</v>
      </c>
      <c r="Z24" s="3">
        <v>0.2916666666666667</v>
      </c>
      <c r="AA24" s="3">
        <v>0.2916666666666667</v>
      </c>
      <c r="AB24" s="3">
        <v>0.2916666666666667</v>
      </c>
      <c r="AC24" s="3">
        <v>0.375</v>
      </c>
      <c r="AD24" s="3">
        <v>0.2916666666666667</v>
      </c>
      <c r="AE24" s="3">
        <v>0.2916666666666667</v>
      </c>
      <c r="AF24" s="3">
        <v>0.2916666666666667</v>
      </c>
      <c r="AG24" s="3">
        <v>0.2916666666666667</v>
      </c>
      <c r="AH24" s="3">
        <v>0.2916666666666667</v>
      </c>
      <c r="AI24" s="3">
        <v>0.2916666666666667</v>
      </c>
      <c r="AJ24" s="3">
        <v>0.375</v>
      </c>
      <c r="AK24" s="1">
        <f>SUM(F26:AJ26)</f>
        <v>248</v>
      </c>
      <c r="AL24">
        <f>(AL$1-AN$1)*2</f>
        <v>52</v>
      </c>
      <c r="AM24" s="2">
        <f>SUM(AN24:AO28)</f>
        <v>78</v>
      </c>
      <c r="AN24" s="2">
        <f>SUM(F27:AJ27)-AL24</f>
        <v>52</v>
      </c>
      <c r="AO24" s="2">
        <f>SUM(F28:AJ28)-AQ24</f>
        <v>26</v>
      </c>
      <c r="AP24" s="4">
        <f>COUNT(IF(H28&gt;0,COUNT(H28),""),IF(O28&gt;0,COUNT(O28),""),IF(V28&gt;0,COUNT(V28),""),IF(AC28&gt;0,COUNT(AC28),""),IF(AJ28&gt;0,COUNT(AJ28),""))</f>
        <v>5</v>
      </c>
      <c r="AQ24" s="5">
        <f>H28+O28+V28+AC28+AJ28</f>
        <v>55</v>
      </c>
      <c r="AR24" s="6">
        <f>SUM(AS24:AV28)</f>
        <v>520.72</v>
      </c>
      <c r="AS24" s="6">
        <f>AK24*D24+AL24*D24*1.5</f>
        <v>299.92</v>
      </c>
      <c r="AT24" s="6">
        <f>AN24*D24*1.5+AO24*D24*2</f>
        <v>119.60000000000001</v>
      </c>
      <c r="AU24" s="6">
        <f>AQ24*D24*2</f>
        <v>101.2</v>
      </c>
      <c r="AV24" s="6">
        <v>0</v>
      </c>
    </row>
    <row r="25" ht="23.100000000000005" customHeight="1">
      <c r="E25" t="str">
        <v>OUT</v>
      </c>
      <c r="F25" s="3">
        <v>0.9166666666666666</v>
      </c>
      <c r="G25" s="3">
        <v>0.9166666666666666</v>
      </c>
      <c r="H25" s="3">
        <v>0.9166666666666666</v>
      </c>
      <c r="I25" s="3">
        <v>0.9166666666666666</v>
      </c>
      <c r="J25" s="3">
        <v>0.9166666666666666</v>
      </c>
      <c r="K25" s="3">
        <v>0.9166666666666666</v>
      </c>
      <c r="L25" s="3">
        <v>0.9166666666666666</v>
      </c>
      <c r="M25" s="3">
        <v>0.9166666666666666</v>
      </c>
      <c r="N25" s="3">
        <v>0.9166666666666666</v>
      </c>
      <c r="O25" s="3">
        <v>0.9166666666666666</v>
      </c>
      <c r="P25" s="3">
        <v>0.9166666666666666</v>
      </c>
      <c r="Q25" s="3">
        <v>0.9166666666666666</v>
      </c>
      <c r="R25" s="3">
        <v>0.9166666666666666</v>
      </c>
      <c r="S25" s="3">
        <v>0.9166666666666666</v>
      </c>
      <c r="T25" s="3">
        <v>0.9166666666666666</v>
      </c>
      <c r="U25" s="3">
        <v>0.9166666666666666</v>
      </c>
      <c r="V25" s="3">
        <v>0.9166666666666666</v>
      </c>
      <c r="W25" s="3">
        <v>0.9166666666666666</v>
      </c>
      <c r="X25" s="3">
        <v>0.9166666666666666</v>
      </c>
      <c r="Y25" s="3">
        <v>0.9166666666666666</v>
      </c>
      <c r="Z25" s="3">
        <v>0.9166666666666666</v>
      </c>
      <c r="AA25" s="3">
        <v>0.9166666666666666</v>
      </c>
      <c r="AB25" s="3">
        <v>0.9166666666666666</v>
      </c>
      <c r="AC25" s="3">
        <v>0.9166666666666666</v>
      </c>
      <c r="AD25" s="3">
        <v>0.9166666666666666</v>
      </c>
      <c r="AE25" s="3">
        <v>0.9166666666666666</v>
      </c>
      <c r="AF25" s="3">
        <v>0.9166666666666666</v>
      </c>
      <c r="AG25" s="3">
        <v>0.9166666666666666</v>
      </c>
      <c r="AH25" s="3">
        <v>0.9166666666666666</v>
      </c>
      <c r="AI25" s="3">
        <v>0.9166666666666666</v>
      </c>
      <c r="AJ25" s="3">
        <v>0.9166666666666666</v>
      </c>
    </row>
    <row r="26" ht="23.100000000000005" customHeight="1">
      <c r="E26" t="str">
        <v>B/W</v>
      </c>
      <c r="F26">
        <v>8</v>
      </c>
      <c r="G26">
        <v>8</v>
      </c>
      <c r="H26">
        <v>8</v>
      </c>
      <c r="I26">
        <v>8</v>
      </c>
      <c r="J26">
        <v>8</v>
      </c>
      <c r="K26">
        <v>8</v>
      </c>
      <c r="L26">
        <v>8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S26">
        <v>8</v>
      </c>
      <c r="T26">
        <v>8</v>
      </c>
      <c r="U26">
        <v>8</v>
      </c>
      <c r="V26">
        <v>8</v>
      </c>
      <c r="W26">
        <v>8</v>
      </c>
      <c r="X26">
        <v>8</v>
      </c>
      <c r="Y26">
        <v>8</v>
      </c>
      <c r="Z26">
        <v>8</v>
      </c>
      <c r="AA26">
        <v>8</v>
      </c>
      <c r="AB26">
        <v>8</v>
      </c>
      <c r="AC26">
        <v>8</v>
      </c>
      <c r="AD26">
        <v>8</v>
      </c>
      <c r="AE26">
        <v>8</v>
      </c>
      <c r="AF26">
        <v>8</v>
      </c>
      <c r="AG26">
        <v>8</v>
      </c>
      <c r="AH26">
        <v>8</v>
      </c>
      <c r="AI26">
        <v>8</v>
      </c>
      <c r="AJ26">
        <v>8</v>
      </c>
    </row>
    <row r="27" ht="23.100000000000005" customHeight="1">
      <c r="E27" t="str">
        <v>B/O</v>
      </c>
      <c r="F27">
        <v>4</v>
      </c>
      <c r="G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</row>
    <row r="28" ht="23.100000000000005" customHeight="1">
      <c r="E28" t="str">
        <v>E/O</v>
      </c>
      <c r="F28">
        <v>1</v>
      </c>
      <c r="G28">
        <v>1</v>
      </c>
      <c r="H28">
        <v>11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11</v>
      </c>
    </row>
    <row r="29" ht="23.100000000000005" customHeight="1">
      <c r="A29">
        <v>6</v>
      </c>
      <c r="B29">
        <v>9000006</v>
      </c>
      <c r="C29" t="str">
        <v>WORKER 06</v>
      </c>
      <c r="D29" s="7">
        <f>568.39/318</f>
        <v>1.7873899371069182</v>
      </c>
      <c r="E29" t="str">
        <v>IN</v>
      </c>
      <c r="F29" s="3">
        <v>0.2916666666666667</v>
      </c>
      <c r="G29" s="3">
        <v>0.2916666666666667</v>
      </c>
      <c r="H29" s="3">
        <v>0.3333333333333333</v>
      </c>
      <c r="I29" s="3">
        <v>0.2916666666666667</v>
      </c>
      <c r="J29" s="3">
        <v>0.2916666666666667</v>
      </c>
      <c r="K29" s="3">
        <v>0.2916666666666667</v>
      </c>
      <c r="L29" s="3">
        <v>0.2916666666666667</v>
      </c>
      <c r="M29" s="3">
        <v>0.2916666666666667</v>
      </c>
      <c r="N29" s="3">
        <v>0.2916666666666667</v>
      </c>
      <c r="O29" s="3">
        <v>0.5416666666666666</v>
      </c>
      <c r="P29" s="3">
        <v>0.2916666666666667</v>
      </c>
      <c r="Q29" s="3">
        <v>0.2916666666666667</v>
      </c>
      <c r="R29" s="3">
        <v>0.2916666666666667</v>
      </c>
      <c r="S29" s="3">
        <v>0.2916666666666667</v>
      </c>
      <c r="T29" s="3">
        <v>0.2916666666666667</v>
      </c>
      <c r="U29" s="3">
        <v>0.2916666666666667</v>
      </c>
      <c r="V29" s="3">
        <v>0.3333333333333333</v>
      </c>
      <c r="W29" s="3">
        <v>0.2916666666666667</v>
      </c>
      <c r="X29" s="3">
        <v>0.2916666666666667</v>
      </c>
      <c r="Y29" s="3">
        <v>0.2916666666666667</v>
      </c>
      <c r="Z29" s="3">
        <v>0.2916666666666667</v>
      </c>
      <c r="AA29" s="3">
        <v>0.2916666666666667</v>
      </c>
      <c r="AB29" s="3">
        <v>0.2916666666666667</v>
      </c>
      <c r="AC29" s="3">
        <v>0.5416666666666666</v>
      </c>
      <c r="AD29" s="3">
        <v>0.2916666666666667</v>
      </c>
      <c r="AE29" s="3">
        <v>0.2916666666666667</v>
      </c>
      <c r="AF29" s="3">
        <v>0.2916666666666667</v>
      </c>
      <c r="AG29" s="3">
        <v>0.2916666666666667</v>
      </c>
      <c r="AH29" s="3">
        <v>0.2916666666666667</v>
      </c>
      <c r="AI29" s="3">
        <v>0.2916666666666667</v>
      </c>
      <c r="AJ29" s="3">
        <v>0.3333333333333333</v>
      </c>
      <c r="AK29" s="1">
        <f>SUM(F31:AJ31)</f>
        <v>240</v>
      </c>
      <c r="AL29">
        <f>(AL$1-AN$1)*2</f>
        <v>52</v>
      </c>
      <c r="AM29" s="2">
        <f>SUM(AN29:AO33)</f>
        <v>48</v>
      </c>
      <c r="AN29" s="2">
        <f>SUM(F32:AJ32)-AL29</f>
        <v>32</v>
      </c>
      <c r="AO29" s="2">
        <f>SUM(F33:AJ33)-AQ29</f>
        <v>16</v>
      </c>
      <c r="AP29" s="4">
        <f>COUNT(IF(H33&gt;0,COUNT(H33),""),IF(O33&gt;0,COUNT(O33),""),IF(V33&gt;0,COUNT(V33),""),IF(AC33&gt;0,COUNT(AC33),""),IF(AJ33&gt;0,COUNT(AJ33),""))</f>
        <v>5</v>
      </c>
      <c r="AQ29" s="2">
        <f>H33+O33+V33+AC33+AJ33</f>
        <v>39.5</v>
      </c>
      <c r="AR29" s="6">
        <f>SUM(AS29:AV33)</f>
        <v>852.585</v>
      </c>
      <c r="AS29" s="6">
        <f>AK29*D29+AL29*D29*1.5</f>
        <v>568.39</v>
      </c>
      <c r="AT29" s="6">
        <f>AN29*D29*1.5+AO29*D29*2</f>
        <v>142.99119496855346</v>
      </c>
      <c r="AU29" s="6">
        <f>AQ29*D29*2</f>
        <v>141.20380503144654</v>
      </c>
      <c r="AV29" s="6">
        <v>0</v>
      </c>
    </row>
    <row r="30" ht="23.100000000000005" customHeight="1">
      <c r="E30" t="str">
        <v>OUT</v>
      </c>
      <c r="F30" s="3">
        <v>0.9166666666666666</v>
      </c>
      <c r="G30" s="3">
        <v>0.75</v>
      </c>
      <c r="H30" s="3">
        <v>0.8541666666666666</v>
      </c>
      <c r="I30" s="3">
        <v>0.9166666666666666</v>
      </c>
      <c r="J30" s="3">
        <v>0.9166666666666666</v>
      </c>
      <c r="K30" s="3">
        <v>0.9166666666666666</v>
      </c>
      <c r="L30" s="3">
        <v>0.9166666666666666</v>
      </c>
      <c r="M30" s="3">
        <v>0.75</v>
      </c>
      <c r="N30" s="3">
        <v>0.9166666666666666</v>
      </c>
      <c r="O30" s="3">
        <v>0.7083333333333334</v>
      </c>
      <c r="P30" s="3">
        <v>0.9166666666666666</v>
      </c>
      <c r="Q30" s="3">
        <v>0.9166666666666666</v>
      </c>
      <c r="R30" s="3">
        <v>0.9166666666666666</v>
      </c>
      <c r="S30" s="3">
        <v>0.75</v>
      </c>
      <c r="T30" s="3">
        <v>0.9166666666666666</v>
      </c>
      <c r="U30" s="3">
        <v>0.75</v>
      </c>
      <c r="V30" s="3">
        <v>0.8541666666666666</v>
      </c>
      <c r="W30" s="3">
        <v>0.75</v>
      </c>
      <c r="X30" s="3">
        <v>0.9166666666666666</v>
      </c>
      <c r="Y30" s="3">
        <v>0.75</v>
      </c>
      <c r="Z30" s="3">
        <v>0.9166666666666666</v>
      </c>
      <c r="AA30" s="3">
        <v>0.75</v>
      </c>
      <c r="AB30" s="3">
        <v>0.9166666666666666</v>
      </c>
      <c r="AC30" s="3">
        <v>0.7083333333333334</v>
      </c>
      <c r="AD30" s="3">
        <v>0.9166666666666666</v>
      </c>
      <c r="AE30" s="3">
        <v>0.75</v>
      </c>
      <c r="AF30" s="3">
        <v>0.9166666666666666</v>
      </c>
      <c r="AG30" s="3">
        <v>0.75</v>
      </c>
      <c r="AH30" s="3">
        <v>0.9166666666666666</v>
      </c>
      <c r="AI30" s="3">
        <v>0.75</v>
      </c>
      <c r="AJ30" s="3">
        <v>0.8541666666666666</v>
      </c>
    </row>
    <row r="31" ht="23.100000000000005" customHeight="1">
      <c r="E31" t="str">
        <v>B/W</v>
      </c>
      <c r="F31">
        <v>8</v>
      </c>
      <c r="G31">
        <v>8</v>
      </c>
      <c r="H31">
        <v>8</v>
      </c>
      <c r="I31">
        <v>8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8</v>
      </c>
      <c r="R31">
        <v>8</v>
      </c>
      <c r="S31">
        <v>8</v>
      </c>
      <c r="T31">
        <v>8</v>
      </c>
      <c r="U31">
        <v>8</v>
      </c>
      <c r="V31">
        <v>8</v>
      </c>
      <c r="W31">
        <v>8</v>
      </c>
      <c r="X31">
        <v>8</v>
      </c>
      <c r="Y31">
        <v>8</v>
      </c>
      <c r="Z31">
        <v>8</v>
      </c>
      <c r="AA31">
        <v>8</v>
      </c>
      <c r="AB31">
        <v>8</v>
      </c>
      <c r="AC31">
        <v>8</v>
      </c>
      <c r="AD31">
        <v>8</v>
      </c>
      <c r="AE31">
        <v>8</v>
      </c>
      <c r="AF31">
        <v>8</v>
      </c>
      <c r="AG31">
        <v>8</v>
      </c>
      <c r="AH31">
        <v>8</v>
      </c>
      <c r="AI31">
        <v>8</v>
      </c>
      <c r="AW31" t="str">
        <v>Monthly</v>
      </c>
    </row>
    <row r="32" ht="23.100000000000005" customHeight="1">
      <c r="E32" t="str">
        <v>B/O</v>
      </c>
      <c r="F32">
        <v>4</v>
      </c>
      <c r="G32">
        <v>2</v>
      </c>
      <c r="I32">
        <v>4</v>
      </c>
      <c r="J32">
        <v>4</v>
      </c>
      <c r="K32">
        <v>4</v>
      </c>
      <c r="L32">
        <v>4</v>
      </c>
      <c r="M32">
        <v>2</v>
      </c>
      <c r="N32">
        <v>4</v>
      </c>
      <c r="P32">
        <v>4</v>
      </c>
      <c r="Q32">
        <v>4</v>
      </c>
      <c r="R32">
        <v>4</v>
      </c>
      <c r="S32">
        <v>2</v>
      </c>
      <c r="T32">
        <v>4</v>
      </c>
      <c r="U32">
        <v>2</v>
      </c>
      <c r="W32">
        <v>2</v>
      </c>
      <c r="X32">
        <v>4</v>
      </c>
      <c r="Y32">
        <v>2</v>
      </c>
      <c r="Z32">
        <v>4</v>
      </c>
      <c r="AA32">
        <v>2</v>
      </c>
      <c r="AB32">
        <v>4</v>
      </c>
      <c r="AD32">
        <v>4</v>
      </c>
      <c r="AE32">
        <v>2</v>
      </c>
      <c r="AF32">
        <v>4</v>
      </c>
      <c r="AG32">
        <v>2</v>
      </c>
      <c r="AH32">
        <v>4</v>
      </c>
      <c r="AI32">
        <v>2</v>
      </c>
    </row>
    <row r="33" ht="23.100000000000005" customHeight="1">
      <c r="E33" t="str">
        <v>E/O</v>
      </c>
      <c r="F33">
        <v>1</v>
      </c>
      <c r="H33">
        <v>10.5</v>
      </c>
      <c r="I33">
        <v>1</v>
      </c>
      <c r="J33">
        <v>1</v>
      </c>
      <c r="K33">
        <v>1</v>
      </c>
      <c r="L33">
        <v>1</v>
      </c>
      <c r="N33">
        <v>1</v>
      </c>
      <c r="O33">
        <v>4</v>
      </c>
      <c r="P33">
        <v>1</v>
      </c>
      <c r="Q33">
        <v>1</v>
      </c>
      <c r="R33">
        <v>1</v>
      </c>
      <c r="T33">
        <v>1</v>
      </c>
      <c r="V33">
        <v>10.5</v>
      </c>
      <c r="X33">
        <v>1</v>
      </c>
      <c r="Z33">
        <v>1</v>
      </c>
      <c r="AB33">
        <v>1</v>
      </c>
      <c r="AC33">
        <v>4</v>
      </c>
      <c r="AD33">
        <v>1</v>
      </c>
      <c r="AF33">
        <v>1</v>
      </c>
      <c r="AH33">
        <v>1</v>
      </c>
      <c r="AJ33">
        <v>10.5</v>
      </c>
    </row>
    <row r="34" ht="23.100000000000005" customHeight="1">
      <c r="A34">
        <v>7</v>
      </c>
      <c r="B34">
        <v>9000007</v>
      </c>
      <c r="C34" t="str">
        <v>WORKER 07</v>
      </c>
      <c r="D34">
        <v>1.12</v>
      </c>
      <c r="E34" t="str">
        <v>IN</v>
      </c>
      <c r="F34" s="3">
        <v>0.25</v>
      </c>
      <c r="G34" s="3">
        <v>0.25</v>
      </c>
      <c r="H34" s="3">
        <v>0.25</v>
      </c>
      <c r="I34" s="3">
        <v>0.25</v>
      </c>
      <c r="J34" s="3">
        <v>0.25</v>
      </c>
      <c r="K34" s="3">
        <v>0.25</v>
      </c>
      <c r="L34" s="3">
        <v>0.25</v>
      </c>
      <c r="M34" s="3">
        <v>0.25</v>
      </c>
      <c r="N34" s="3">
        <v>0.25</v>
      </c>
      <c r="O34" s="3">
        <v>0.25</v>
      </c>
      <c r="P34" s="3">
        <v>0.25</v>
      </c>
      <c r="Q34" s="3">
        <v>0.25</v>
      </c>
      <c r="R34" s="3">
        <v>0.25</v>
      </c>
      <c r="S34" s="3">
        <v>0.25</v>
      </c>
      <c r="T34" s="3">
        <v>0.25</v>
      </c>
      <c r="U34" s="3">
        <v>0.25</v>
      </c>
      <c r="V34" s="3">
        <v>0.25</v>
      </c>
      <c r="W34" s="3">
        <v>0.25</v>
      </c>
      <c r="X34" s="3">
        <v>0.25</v>
      </c>
      <c r="Y34" s="3">
        <v>0.25</v>
      </c>
      <c r="Z34" s="3">
        <v>0.25</v>
      </c>
      <c r="AA34" s="3">
        <v>0.25</v>
      </c>
      <c r="AB34" s="3">
        <v>0.25</v>
      </c>
      <c r="AC34" s="3">
        <v>0.25</v>
      </c>
      <c r="AD34" s="3">
        <v>0.25</v>
      </c>
      <c r="AE34" s="3">
        <v>0.25</v>
      </c>
      <c r="AF34" s="3">
        <v>0.25</v>
      </c>
      <c r="AG34" s="3">
        <v>0.25</v>
      </c>
      <c r="AH34" s="3">
        <v>0.25</v>
      </c>
      <c r="AI34" s="3">
        <v>0.25</v>
      </c>
      <c r="AJ34" s="3">
        <v>0.25</v>
      </c>
      <c r="AK34" s="1">
        <f>SUM(F36:AJ36)</f>
        <v>248</v>
      </c>
      <c r="AL34">
        <f>(AL$1-AN$1)*2</f>
        <v>52</v>
      </c>
      <c r="AM34" s="2">
        <f>SUM(AN34:AO38)</f>
        <v>130</v>
      </c>
      <c r="AN34" s="2">
        <f>SUM(F37:AJ37)-AL34</f>
        <v>52</v>
      </c>
      <c r="AO34" s="2">
        <f>SUM(F38:AJ38)-AQ34</f>
        <v>78</v>
      </c>
      <c r="AP34" s="4">
        <f>COUNT(IF(H38&gt;0,COUNT(H38),""),IF(O38&gt;0,COUNT(O38),""),IF(V38&gt;0,COUNT(V38),""),IF(AC38&gt;0,COUNT(AC38),""),IF(AJ38&gt;0,COUNT(AJ38),""))</f>
        <v>5</v>
      </c>
      <c r="AQ34" s="5">
        <f>H38+O38+V38+AC38+AJ38</f>
        <v>70</v>
      </c>
      <c r="AR34" s="6">
        <f>SUM(AS34:AV38)</f>
        <v>784</v>
      </c>
      <c r="AS34" s="6">
        <f>AK34*D34+AL34*D34*1.5</f>
        <v>365.12000000000006</v>
      </c>
      <c r="AT34" s="6">
        <f>AN34*D34*1.5+AO34*D34*2</f>
        <v>262.08000000000004</v>
      </c>
      <c r="AU34" s="6">
        <f>AQ34*D34*2</f>
        <v>156.8</v>
      </c>
      <c r="AV34" s="6">
        <v>0</v>
      </c>
    </row>
    <row r="35" ht="23.100000000000005" customHeight="1">
      <c r="E35" t="str">
        <v>OUT</v>
      </c>
      <c r="F35" s="3">
        <v>0.9583333333333334</v>
      </c>
      <c r="G35" s="3">
        <v>0.9583333333333334</v>
      </c>
      <c r="H35" s="3">
        <v>0.9166666666666666</v>
      </c>
      <c r="I35" s="3">
        <v>0.9583333333333334</v>
      </c>
      <c r="J35" s="3">
        <v>0.9583333333333334</v>
      </c>
      <c r="K35" s="3">
        <v>0.9583333333333334</v>
      </c>
      <c r="L35" s="3">
        <v>0.9583333333333334</v>
      </c>
      <c r="M35" s="3">
        <v>0.9583333333333334</v>
      </c>
      <c r="N35" s="3">
        <v>0.9583333333333334</v>
      </c>
      <c r="O35" s="3">
        <v>0.9166666666666666</v>
      </c>
      <c r="P35" s="3">
        <v>0.9583333333333334</v>
      </c>
      <c r="Q35" s="3">
        <v>0.9583333333333334</v>
      </c>
      <c r="R35" s="3">
        <v>0.9583333333333334</v>
      </c>
      <c r="S35" s="3">
        <v>0.9583333333333334</v>
      </c>
      <c r="T35" s="3">
        <v>0.9583333333333334</v>
      </c>
      <c r="U35" s="3">
        <v>0.9583333333333334</v>
      </c>
      <c r="V35" s="3">
        <v>0.9166666666666666</v>
      </c>
      <c r="W35" s="3">
        <v>0.9583333333333334</v>
      </c>
      <c r="X35" s="3">
        <v>0.9583333333333334</v>
      </c>
      <c r="Y35" s="3">
        <v>0.9583333333333334</v>
      </c>
      <c r="Z35" s="3">
        <v>0.9583333333333334</v>
      </c>
      <c r="AA35" s="3">
        <v>0.9583333333333334</v>
      </c>
      <c r="AB35" s="3">
        <v>0.9583333333333334</v>
      </c>
      <c r="AC35" s="3">
        <v>0.9166666666666666</v>
      </c>
      <c r="AD35" s="3">
        <v>0.9583333333333334</v>
      </c>
      <c r="AE35" s="3">
        <v>0.9583333333333334</v>
      </c>
      <c r="AF35" s="3">
        <v>0.9583333333333334</v>
      </c>
      <c r="AG35" s="3">
        <v>0.9583333333333334</v>
      </c>
      <c r="AH35" s="3">
        <v>0.9583333333333334</v>
      </c>
      <c r="AI35" s="3">
        <v>0.9583333333333334</v>
      </c>
      <c r="AJ35" s="3">
        <v>0.9166666666666666</v>
      </c>
    </row>
    <row r="36" ht="23.100000000000005" customHeight="1">
      <c r="E36" t="str">
        <v>B/W</v>
      </c>
      <c r="F36">
        <v>8</v>
      </c>
      <c r="G36">
        <v>8</v>
      </c>
      <c r="H36">
        <v>8</v>
      </c>
      <c r="I36">
        <v>8</v>
      </c>
      <c r="J36">
        <v>8</v>
      </c>
      <c r="K36">
        <v>8</v>
      </c>
      <c r="L36">
        <v>8</v>
      </c>
      <c r="M36">
        <v>8</v>
      </c>
      <c r="N36">
        <v>8</v>
      </c>
      <c r="O36">
        <v>8</v>
      </c>
      <c r="P36">
        <v>8</v>
      </c>
      <c r="Q36">
        <v>8</v>
      </c>
      <c r="R36">
        <v>8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8</v>
      </c>
      <c r="AB36">
        <v>8</v>
      </c>
      <c r="AC36">
        <v>8</v>
      </c>
      <c r="AD36">
        <v>8</v>
      </c>
      <c r="AE36">
        <v>8</v>
      </c>
      <c r="AF36">
        <v>8</v>
      </c>
      <c r="AG36">
        <v>8</v>
      </c>
      <c r="AH36">
        <v>8</v>
      </c>
      <c r="AI36">
        <v>8</v>
      </c>
      <c r="AJ36">
        <v>8</v>
      </c>
    </row>
    <row r="37" ht="23.100000000000005" customHeight="1">
      <c r="E37" t="str">
        <v>B/O</v>
      </c>
      <c r="F37">
        <v>4</v>
      </c>
      <c r="G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</row>
    <row r="38" ht="23.100000000000005" customHeight="1">
      <c r="E38" t="str">
        <v>E/O</v>
      </c>
      <c r="F38">
        <v>3</v>
      </c>
      <c r="G38">
        <v>3</v>
      </c>
      <c r="H38">
        <v>14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14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14</v>
      </c>
      <c r="W38">
        <v>3</v>
      </c>
      <c r="X38">
        <v>3</v>
      </c>
      <c r="Y38">
        <v>3</v>
      </c>
      <c r="Z38">
        <v>3</v>
      </c>
      <c r="AA38">
        <v>3</v>
      </c>
      <c r="AB38">
        <v>3</v>
      </c>
      <c r="AC38">
        <v>14</v>
      </c>
      <c r="AD38">
        <v>3</v>
      </c>
      <c r="AE38">
        <v>3</v>
      </c>
      <c r="AF38">
        <v>3</v>
      </c>
      <c r="AG38">
        <v>3</v>
      </c>
      <c r="AH38">
        <v>3</v>
      </c>
      <c r="AI38">
        <v>3</v>
      </c>
      <c r="AJ38">
        <v>14</v>
      </c>
    </row>
    <row r="39" ht="23.100000000000005" customHeight="1">
      <c r="A39">
        <v>8</v>
      </c>
      <c r="B39">
        <v>9000008</v>
      </c>
      <c r="C39" t="str">
        <v>WORKER 08</v>
      </c>
      <c r="D39" s="7">
        <v>0.92</v>
      </c>
      <c r="E39" t="str">
        <v>IN</v>
      </c>
      <c r="F39" s="3">
        <v>0.2708333333333333</v>
      </c>
      <c r="G39" s="3">
        <v>0.2708333333333333</v>
      </c>
      <c r="H39" s="3">
        <v>0.3333333333333333</v>
      </c>
      <c r="I39" s="3">
        <v>0.2708333333333333</v>
      </c>
      <c r="J39" s="3">
        <v>0.2708333333333333</v>
      </c>
      <c r="K39" s="3">
        <v>0.2708333333333333</v>
      </c>
      <c r="L39" s="3">
        <v>0.2708333333333333</v>
      </c>
      <c r="M39" s="3">
        <v>0.2708333333333333</v>
      </c>
      <c r="N39" s="3">
        <v>0.2708333333333333</v>
      </c>
      <c r="O39" s="3">
        <v>0.3333333333333333</v>
      </c>
      <c r="P39" s="3">
        <v>0.2708333333333333</v>
      </c>
      <c r="Q39" s="3">
        <v>0.2708333333333333</v>
      </c>
      <c r="R39" s="3">
        <v>0.2708333333333333</v>
      </c>
      <c r="S39" s="3">
        <v>0.2708333333333333</v>
      </c>
      <c r="T39" s="3">
        <v>0.2708333333333333</v>
      </c>
      <c r="U39" s="3">
        <v>0.2708333333333333</v>
      </c>
      <c r="V39" s="3">
        <v>0.3333333333333333</v>
      </c>
      <c r="W39" s="3">
        <v>0.2708333333333333</v>
      </c>
      <c r="X39" s="3">
        <v>0.2708333333333333</v>
      </c>
      <c r="Y39" s="3">
        <v>0.2708333333333333</v>
      </c>
      <c r="Z39" s="3">
        <v>0.2708333333333333</v>
      </c>
      <c r="AA39" s="3">
        <v>0.2708333333333333</v>
      </c>
      <c r="AB39" s="3">
        <v>0.2708333333333333</v>
      </c>
      <c r="AC39" s="3">
        <v>0.3333333333333333</v>
      </c>
      <c r="AD39" s="3">
        <v>0.2708333333333333</v>
      </c>
      <c r="AE39" s="3">
        <v>0.2708333333333333</v>
      </c>
      <c r="AF39" s="3">
        <v>0.2708333333333333</v>
      </c>
      <c r="AG39" s="3">
        <v>0.2708333333333333</v>
      </c>
      <c r="AH39" s="3">
        <v>0.2708333333333333</v>
      </c>
      <c r="AI39" s="3">
        <v>0.2708333333333333</v>
      </c>
      <c r="AJ39" s="3">
        <v>0.3333333333333333</v>
      </c>
      <c r="AK39" s="1">
        <f>SUM(F41:AJ41)</f>
        <v>248</v>
      </c>
      <c r="AL39">
        <f>(AL$1-AN$1)*2</f>
        <v>52</v>
      </c>
      <c r="AM39" s="2">
        <f>SUM(AN39:AO43)</f>
        <v>91</v>
      </c>
      <c r="AN39" s="2">
        <f>SUM(F42:AJ42)-AL39</f>
        <v>52</v>
      </c>
      <c r="AO39" s="2">
        <f>SUM(F43:AJ43)-AQ39</f>
        <v>39</v>
      </c>
      <c r="AP39" s="4">
        <f>COUNT(IF(H43&gt;0,COUNT(H43),""),IF(O43&gt;0,COUNT(O43),""),IF(V43&gt;0,COUNT(V43),""),IF(AC43&gt;0,COUNT(AC43),""),IF(AJ43&gt;0,COUNT(AJ43),""))</f>
        <v>5</v>
      </c>
      <c r="AQ39" s="2">
        <f>H43+O43+V43+AC43+AJ43</f>
        <v>52.5</v>
      </c>
      <c r="AR39" s="6">
        <f>SUM(AS39:AV43)</f>
        <v>540.0400000000001</v>
      </c>
      <c r="AS39" s="6">
        <f>AK39*D39+AL39*D39*1.5</f>
        <v>299.92</v>
      </c>
      <c r="AT39" s="6">
        <f>AN39*D39*1.5+AO39*D39*2</f>
        <v>143.52</v>
      </c>
      <c r="AU39" s="6">
        <f>AQ39*D39*2</f>
        <v>96.60000000000001</v>
      </c>
      <c r="AV39" s="6">
        <v>0</v>
      </c>
    </row>
    <row r="40" ht="23.100000000000005" customHeight="1">
      <c r="E40" t="str">
        <v>OUT</v>
      </c>
      <c r="F40" s="3">
        <v>0.9166666666666666</v>
      </c>
      <c r="G40" s="3">
        <v>0.9166666666666666</v>
      </c>
      <c r="H40" s="3">
        <v>0.8541666666666666</v>
      </c>
      <c r="I40" s="3">
        <v>0.9166666666666666</v>
      </c>
      <c r="J40" s="3">
        <v>0.9166666666666666</v>
      </c>
      <c r="K40" s="3">
        <v>0.9166666666666666</v>
      </c>
      <c r="L40" s="3">
        <v>0.9166666666666666</v>
      </c>
      <c r="M40" s="3">
        <v>0.9166666666666666</v>
      </c>
      <c r="N40" s="3">
        <v>0.9166666666666666</v>
      </c>
      <c r="O40" s="3">
        <v>0.8541666666666666</v>
      </c>
      <c r="P40" s="3">
        <v>0.9166666666666666</v>
      </c>
      <c r="Q40" s="3">
        <v>0.9166666666666666</v>
      </c>
      <c r="R40" s="3">
        <v>0.9166666666666666</v>
      </c>
      <c r="S40" s="3">
        <v>0.9166666666666666</v>
      </c>
      <c r="T40" s="3">
        <v>0.9166666666666666</v>
      </c>
      <c r="U40" s="3">
        <v>0.9166666666666666</v>
      </c>
      <c r="V40" s="3">
        <v>0.8541666666666666</v>
      </c>
      <c r="W40" s="3">
        <v>0.9166666666666666</v>
      </c>
      <c r="X40" s="3">
        <v>0.9166666666666666</v>
      </c>
      <c r="Y40" s="3">
        <v>0.9166666666666666</v>
      </c>
      <c r="Z40" s="3">
        <v>0.9166666666666666</v>
      </c>
      <c r="AA40" s="3">
        <v>0.9166666666666666</v>
      </c>
      <c r="AB40" s="3">
        <v>0.9166666666666666</v>
      </c>
      <c r="AC40" s="3">
        <v>0.8541666666666666</v>
      </c>
      <c r="AD40" s="3">
        <v>0.9166666666666666</v>
      </c>
      <c r="AE40" s="3">
        <v>0.9166666666666666</v>
      </c>
      <c r="AF40" s="3">
        <v>0.9166666666666666</v>
      </c>
      <c r="AG40" s="3">
        <v>0.9166666666666666</v>
      </c>
      <c r="AH40" s="3">
        <v>0.9166666666666666</v>
      </c>
      <c r="AI40" s="3">
        <v>0.9166666666666666</v>
      </c>
      <c r="AJ40" s="3">
        <v>0.8541666666666666</v>
      </c>
    </row>
    <row r="41" ht="23.100000000000005" customHeight="1">
      <c r="E41" t="str">
        <v>B/W</v>
      </c>
      <c r="F41">
        <v>8</v>
      </c>
      <c r="G41">
        <v>8</v>
      </c>
      <c r="H41">
        <v>8</v>
      </c>
      <c r="I41">
        <v>8</v>
      </c>
      <c r="J41">
        <v>8</v>
      </c>
      <c r="K41">
        <v>8</v>
      </c>
      <c r="L41">
        <v>8</v>
      </c>
      <c r="M41">
        <v>8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8</v>
      </c>
      <c r="U41">
        <v>8</v>
      </c>
      <c r="V41">
        <v>8</v>
      </c>
      <c r="W41">
        <v>8</v>
      </c>
      <c r="X41">
        <v>8</v>
      </c>
      <c r="Y41">
        <v>8</v>
      </c>
      <c r="Z41">
        <v>8</v>
      </c>
      <c r="AA41">
        <v>8</v>
      </c>
      <c r="AB41">
        <v>8</v>
      </c>
      <c r="AC41">
        <v>8</v>
      </c>
      <c r="AD41">
        <v>8</v>
      </c>
      <c r="AE41">
        <v>8</v>
      </c>
      <c r="AF41">
        <v>8</v>
      </c>
      <c r="AG41">
        <v>8</v>
      </c>
      <c r="AH41">
        <v>8</v>
      </c>
      <c r="AI41">
        <v>8</v>
      </c>
      <c r="AJ41">
        <v>8</v>
      </c>
    </row>
    <row r="42" ht="23.100000000000005" customHeight="1">
      <c r="E42" t="str">
        <v>B/O</v>
      </c>
      <c r="F42">
        <v>4</v>
      </c>
      <c r="G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</row>
    <row r="43" ht="23.100000000000005" customHeight="1">
      <c r="E43" t="str">
        <v>E/O</v>
      </c>
      <c r="F43">
        <v>1.5</v>
      </c>
      <c r="G43">
        <v>1.5</v>
      </c>
      <c r="H43">
        <v>10.5</v>
      </c>
      <c r="I43">
        <v>1.5</v>
      </c>
      <c r="J43">
        <v>1.5</v>
      </c>
      <c r="K43">
        <v>1.5</v>
      </c>
      <c r="L43">
        <v>1.5</v>
      </c>
      <c r="M43">
        <v>1.5</v>
      </c>
      <c r="N43">
        <v>1.5</v>
      </c>
      <c r="O43">
        <v>10.5</v>
      </c>
      <c r="P43">
        <v>1.5</v>
      </c>
      <c r="Q43">
        <v>1.5</v>
      </c>
      <c r="R43">
        <v>1.5</v>
      </c>
      <c r="S43">
        <v>1.5</v>
      </c>
      <c r="T43">
        <v>1.5</v>
      </c>
      <c r="U43">
        <v>1.5</v>
      </c>
      <c r="V43">
        <v>10.5</v>
      </c>
      <c r="W43">
        <v>1.5</v>
      </c>
      <c r="X43">
        <v>1.5</v>
      </c>
      <c r="Y43">
        <v>1.5</v>
      </c>
      <c r="Z43">
        <v>1.5</v>
      </c>
      <c r="AA43">
        <v>1.5</v>
      </c>
      <c r="AB43">
        <v>1.5</v>
      </c>
      <c r="AC43">
        <v>10.5</v>
      </c>
      <c r="AD43">
        <v>1.5</v>
      </c>
      <c r="AE43">
        <v>1.5</v>
      </c>
      <c r="AF43">
        <v>1.5</v>
      </c>
      <c r="AG43">
        <v>1.5</v>
      </c>
      <c r="AH43">
        <v>1.5</v>
      </c>
      <c r="AI43">
        <v>1.5</v>
      </c>
      <c r="AJ43">
        <v>10.5</v>
      </c>
    </row>
    <row r="44" ht="23.100000000000005" customHeight="1">
      <c r="A44">
        <v>9</v>
      </c>
      <c r="B44">
        <v>9000009</v>
      </c>
      <c r="C44" t="str">
        <v>WORKER 09</v>
      </c>
      <c r="D44" s="7">
        <v>0.92</v>
      </c>
      <c r="E44" t="str">
        <v>IN</v>
      </c>
      <c r="F44" s="3">
        <v>0.2916666666666667</v>
      </c>
      <c r="G44" s="3">
        <v>0.2916666666666667</v>
      </c>
      <c r="H44" s="3">
        <v>0.375</v>
      </c>
      <c r="I44" s="3">
        <v>0.2916666666666667</v>
      </c>
      <c r="J44" s="3">
        <v>0.2916666666666667</v>
      </c>
      <c r="K44" s="3">
        <v>0.2916666666666667</v>
      </c>
      <c r="L44" s="3">
        <v>0.2916666666666667</v>
      </c>
      <c r="M44" s="3">
        <v>0.2916666666666667</v>
      </c>
      <c r="N44" s="3">
        <v>0.2916666666666667</v>
      </c>
      <c r="O44" s="3">
        <v>0.375</v>
      </c>
      <c r="P44" s="3">
        <v>0.2916666666666667</v>
      </c>
      <c r="Q44" s="3">
        <v>0.2916666666666667</v>
      </c>
      <c r="R44" s="3">
        <v>0.2916666666666667</v>
      </c>
      <c r="S44" s="3">
        <v>0.2916666666666667</v>
      </c>
      <c r="T44" s="3">
        <v>0.2916666666666667</v>
      </c>
      <c r="U44" s="3">
        <v>0.2916666666666667</v>
      </c>
      <c r="V44" s="3">
        <v>0.375</v>
      </c>
      <c r="W44" s="3">
        <v>0.2916666666666667</v>
      </c>
      <c r="X44" s="3">
        <v>0.2916666666666667</v>
      </c>
      <c r="Y44" s="3">
        <v>0.2916666666666667</v>
      </c>
      <c r="Z44" s="3">
        <v>0.2916666666666667</v>
      </c>
      <c r="AA44" s="3">
        <v>0.2916666666666667</v>
      </c>
      <c r="AB44" s="3">
        <v>0.2916666666666667</v>
      </c>
      <c r="AC44" s="3">
        <v>0.375</v>
      </c>
      <c r="AD44" s="3">
        <v>0.2916666666666667</v>
      </c>
      <c r="AE44" s="3">
        <v>0.2916666666666667</v>
      </c>
      <c r="AF44" s="3">
        <v>0.2916666666666667</v>
      </c>
      <c r="AG44" s="3">
        <v>0.2916666666666667</v>
      </c>
      <c r="AH44" s="3">
        <v>0.2916666666666667</v>
      </c>
      <c r="AI44" s="3">
        <v>0.2916666666666667</v>
      </c>
      <c r="AJ44" s="3">
        <v>0.375</v>
      </c>
      <c r="AK44" s="1">
        <f>SUM(F46:AJ46)</f>
        <v>248</v>
      </c>
      <c r="AL44">
        <f>(AL$1-AN$1)*2</f>
        <v>52</v>
      </c>
      <c r="AM44" s="2">
        <f>SUM(AN44:AO48)</f>
        <v>78</v>
      </c>
      <c r="AN44" s="2">
        <f>SUM(F47:AJ47)-AL44</f>
        <v>52</v>
      </c>
      <c r="AO44" s="2">
        <f>SUM(F48:AJ48)-AQ44</f>
        <v>26</v>
      </c>
      <c r="AP44" s="4">
        <f>COUNT(IF(H48&gt;0,COUNT(H48),""),IF(O48&gt;0,COUNT(O48),""),IF(V48&gt;0,COUNT(V48),""),IF(AC48&gt;0,COUNT(AC48),""),IF(AJ48&gt;0,COUNT(AJ48),""))</f>
        <v>5</v>
      </c>
      <c r="AQ44" s="5">
        <f>H48+O48+V48+AC48+AJ48</f>
        <v>55</v>
      </c>
      <c r="AR44" s="6">
        <f>SUM(AS44:AV48)</f>
        <v>520.72</v>
      </c>
      <c r="AS44" s="6">
        <f>AK44*D44+AL44*D44*1.5</f>
        <v>299.92</v>
      </c>
      <c r="AT44" s="6">
        <f>AN44*D44*1.5+AO44*D44*2</f>
        <v>119.60000000000001</v>
      </c>
      <c r="AU44" s="6">
        <f>AQ44*D44*2</f>
        <v>101.2</v>
      </c>
      <c r="AV44" s="6">
        <v>0</v>
      </c>
    </row>
    <row r="45" ht="23.100000000000005" customHeight="1">
      <c r="E45" t="str">
        <v>OUT</v>
      </c>
      <c r="F45" s="3">
        <v>0.9166666666666666</v>
      </c>
      <c r="G45" s="3">
        <v>0.9166666666666666</v>
      </c>
      <c r="H45" s="3">
        <v>0.9166666666666666</v>
      </c>
      <c r="I45" s="3">
        <v>0.9166666666666666</v>
      </c>
      <c r="J45" s="3">
        <v>0.9166666666666666</v>
      </c>
      <c r="K45" s="3">
        <v>0.9166666666666666</v>
      </c>
      <c r="L45" s="3">
        <v>0.9166666666666666</v>
      </c>
      <c r="M45" s="3">
        <v>0.9166666666666666</v>
      </c>
      <c r="N45" s="3">
        <v>0.9166666666666666</v>
      </c>
      <c r="O45" s="3">
        <v>0.9166666666666666</v>
      </c>
      <c r="P45" s="3">
        <v>0.9166666666666666</v>
      </c>
      <c r="Q45" s="3">
        <v>0.9166666666666666</v>
      </c>
      <c r="R45" s="3">
        <v>0.9166666666666666</v>
      </c>
      <c r="S45" s="3">
        <v>0.9166666666666666</v>
      </c>
      <c r="T45" s="3">
        <v>0.9166666666666666</v>
      </c>
      <c r="U45" s="3">
        <v>0.9166666666666666</v>
      </c>
      <c r="V45" s="3">
        <v>0.9166666666666666</v>
      </c>
      <c r="W45" s="3">
        <v>0.9166666666666666</v>
      </c>
      <c r="X45" s="3">
        <v>0.9166666666666666</v>
      </c>
      <c r="Y45" s="3">
        <v>0.9166666666666666</v>
      </c>
      <c r="Z45" s="3">
        <v>0.9166666666666666</v>
      </c>
      <c r="AA45" s="3">
        <v>0.9166666666666666</v>
      </c>
      <c r="AB45" s="3">
        <v>0.9166666666666666</v>
      </c>
      <c r="AC45" s="3">
        <v>0.9166666666666666</v>
      </c>
      <c r="AD45" s="3">
        <v>0.9166666666666666</v>
      </c>
      <c r="AE45" s="3">
        <v>0.9166666666666666</v>
      </c>
      <c r="AF45" s="3">
        <v>0.9166666666666666</v>
      </c>
      <c r="AG45" s="3">
        <v>0.9166666666666666</v>
      </c>
      <c r="AH45" s="3">
        <v>0.9166666666666666</v>
      </c>
      <c r="AI45" s="3">
        <v>0.9166666666666666</v>
      </c>
      <c r="AJ45" s="3">
        <v>0.9166666666666666</v>
      </c>
    </row>
    <row r="46" ht="23.100000000000005" customHeight="1">
      <c r="E46" t="str">
        <v>B/W</v>
      </c>
      <c r="F46">
        <v>8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8</v>
      </c>
      <c r="P46">
        <v>8</v>
      </c>
      <c r="Q46">
        <v>8</v>
      </c>
      <c r="R46">
        <v>8</v>
      </c>
      <c r="S46">
        <v>8</v>
      </c>
      <c r="T46">
        <v>8</v>
      </c>
      <c r="U46">
        <v>8</v>
      </c>
      <c r="V46">
        <v>8</v>
      </c>
      <c r="W46">
        <v>8</v>
      </c>
      <c r="X46">
        <v>8</v>
      </c>
      <c r="Y46">
        <v>8</v>
      </c>
      <c r="Z46">
        <v>8</v>
      </c>
      <c r="AA46">
        <v>8</v>
      </c>
      <c r="AB46">
        <v>8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</row>
    <row r="47" ht="23.100000000000005" customHeight="1">
      <c r="E47" t="str">
        <v>B/O</v>
      </c>
      <c r="F47">
        <v>4</v>
      </c>
      <c r="G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</row>
    <row r="48" ht="23.100000000000005" customHeight="1">
      <c r="E48" t="str">
        <v>E/O</v>
      </c>
      <c r="F48">
        <v>1</v>
      </c>
      <c r="G48">
        <v>1</v>
      </c>
      <c r="H48">
        <v>11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11</v>
      </c>
    </row>
    <row r="49" ht="18" customHeight="1">
      <c r="AR49" s="6">
        <f>SUM(AR4:AR48)</f>
        <v>6010.945</v>
      </c>
      <c r="AS49" s="6">
        <f>SUM(AS4:AS48)</f>
        <v>3414.37</v>
      </c>
      <c r="AT49" s="6">
        <f>SUM(AT4:AT48)</f>
        <v>1423.9711949685534</v>
      </c>
      <c r="AU49" s="6">
        <f>SUM(AU4:AU48)</f>
        <v>1172.6038050314467</v>
      </c>
      <c r="AV49" s="6">
        <f>SUM(AV4:AV48)</f>
        <v>0</v>
      </c>
    </row>
    <row r="50" ht="21" customHeight="1"/>
  </sheetData>
  <mergeCells count="154">
    <mergeCell ref="A1:D1"/>
    <mergeCell ref="A2:A3"/>
    <mergeCell ref="B2:B3"/>
    <mergeCell ref="C2:C3"/>
    <mergeCell ref="D2:D3"/>
    <mergeCell ref="E2:E3"/>
    <mergeCell ref="F2:AJ2"/>
    <mergeCell ref="AK2:AL2"/>
    <mergeCell ref="AM2:AO2"/>
    <mergeCell ref="AP2:AQ2"/>
    <mergeCell ref="A4:A8"/>
    <mergeCell ref="B4:B8"/>
    <mergeCell ref="C4:C8"/>
    <mergeCell ref="D4:D8"/>
    <mergeCell ref="AK4:AK8"/>
    <mergeCell ref="AL4:AL8"/>
    <mergeCell ref="AS4:AS8"/>
    <mergeCell ref="AT4:AT8"/>
    <mergeCell ref="AU4:AU8"/>
    <mergeCell ref="AV4:AV8"/>
    <mergeCell ref="A9:A13"/>
    <mergeCell ref="B9:B13"/>
    <mergeCell ref="C9:C13"/>
    <mergeCell ref="D9:D13"/>
    <mergeCell ref="AK9:AK13"/>
    <mergeCell ref="AL9:AL13"/>
    <mergeCell ref="AM4:AM8"/>
    <mergeCell ref="AN4:AN8"/>
    <mergeCell ref="AO4:AO8"/>
    <mergeCell ref="AP4:AP8"/>
    <mergeCell ref="AQ4:AQ8"/>
    <mergeCell ref="AR4:AR8"/>
    <mergeCell ref="AS9:AS13"/>
    <mergeCell ref="AT9:AT13"/>
    <mergeCell ref="AU9:AU13"/>
    <mergeCell ref="AV9:AV13"/>
    <mergeCell ref="AP9:AP13"/>
    <mergeCell ref="AQ9:AQ13"/>
    <mergeCell ref="AR9:AR13"/>
    <mergeCell ref="B14:B18"/>
    <mergeCell ref="C14:C18"/>
    <mergeCell ref="D14:D18"/>
    <mergeCell ref="AK14:AK18"/>
    <mergeCell ref="AL14:AL18"/>
    <mergeCell ref="AM9:AM13"/>
    <mergeCell ref="AN9:AN13"/>
    <mergeCell ref="AO9:AO13"/>
    <mergeCell ref="AM19:AM23"/>
    <mergeCell ref="AN19:AN23"/>
    <mergeCell ref="AO19:AO23"/>
    <mergeCell ref="AS14:AS18"/>
    <mergeCell ref="AT14:AT18"/>
    <mergeCell ref="AU14:AU18"/>
    <mergeCell ref="AV14:AV18"/>
    <mergeCell ref="A19:A23"/>
    <mergeCell ref="B19:B23"/>
    <mergeCell ref="C19:C23"/>
    <mergeCell ref="D19:D23"/>
    <mergeCell ref="AK19:AK23"/>
    <mergeCell ref="AL19:AL23"/>
    <mergeCell ref="AM14:AM18"/>
    <mergeCell ref="AN14:AN18"/>
    <mergeCell ref="AO14:AO18"/>
    <mergeCell ref="AP14:AP18"/>
    <mergeCell ref="AQ14:AQ18"/>
    <mergeCell ref="AR14:AR18"/>
    <mergeCell ref="AS19:AS23"/>
    <mergeCell ref="AT19:AT23"/>
    <mergeCell ref="AU19:AU23"/>
    <mergeCell ref="AV19:AV23"/>
    <mergeCell ref="AP19:AP23"/>
    <mergeCell ref="AQ19:AQ23"/>
    <mergeCell ref="AR19:AR23"/>
    <mergeCell ref="A14:A18"/>
    <mergeCell ref="AT24:AT28"/>
    <mergeCell ref="AU24:AU28"/>
    <mergeCell ref="AV24:AV28"/>
    <mergeCell ref="A29:A33"/>
    <mergeCell ref="B29:B33"/>
    <mergeCell ref="C29:C33"/>
    <mergeCell ref="D29:D33"/>
    <mergeCell ref="AK29:AK33"/>
    <mergeCell ref="AL29:AL33"/>
    <mergeCell ref="AM24:AM28"/>
    <mergeCell ref="AN24:AN28"/>
    <mergeCell ref="AO24:AO28"/>
    <mergeCell ref="AP24:AP28"/>
    <mergeCell ref="AQ24:AQ28"/>
    <mergeCell ref="AR24:AR28"/>
    <mergeCell ref="AS29:AS33"/>
    <mergeCell ref="AT29:AT33"/>
    <mergeCell ref="AU29:AU33"/>
    <mergeCell ref="AV29:AV33"/>
    <mergeCell ref="AP29:AP33"/>
    <mergeCell ref="AQ29:AQ33"/>
    <mergeCell ref="AR29:AR33"/>
    <mergeCell ref="A24:A28"/>
    <mergeCell ref="B24:B28"/>
    <mergeCell ref="C34:C38"/>
    <mergeCell ref="D34:D38"/>
    <mergeCell ref="AK34:AK38"/>
    <mergeCell ref="AL34:AL38"/>
    <mergeCell ref="AM29:AM33"/>
    <mergeCell ref="AN29:AN33"/>
    <mergeCell ref="AO29:AO33"/>
    <mergeCell ref="AS24:AS28"/>
    <mergeCell ref="C24:C28"/>
    <mergeCell ref="D24:D28"/>
    <mergeCell ref="AK24:AK28"/>
    <mergeCell ref="AL24:AL28"/>
    <mergeCell ref="AS34:AS38"/>
    <mergeCell ref="AT34:AT38"/>
    <mergeCell ref="AU34:AU38"/>
    <mergeCell ref="AV34:AV38"/>
    <mergeCell ref="A39:A43"/>
    <mergeCell ref="B39:B43"/>
    <mergeCell ref="C39:C43"/>
    <mergeCell ref="D39:D43"/>
    <mergeCell ref="AK39:AK43"/>
    <mergeCell ref="AL39:AL43"/>
    <mergeCell ref="AM34:AM38"/>
    <mergeCell ref="AN34:AN38"/>
    <mergeCell ref="AO34:AO38"/>
    <mergeCell ref="AP34:AP38"/>
    <mergeCell ref="AQ34:AQ38"/>
    <mergeCell ref="AR34:AR38"/>
    <mergeCell ref="AS39:AS43"/>
    <mergeCell ref="AT39:AT43"/>
    <mergeCell ref="AU39:AU43"/>
    <mergeCell ref="AV39:AV43"/>
    <mergeCell ref="AP39:AP43"/>
    <mergeCell ref="AQ39:AQ43"/>
    <mergeCell ref="AR39:AR43"/>
    <mergeCell ref="A34:A38"/>
    <mergeCell ref="B34:B38"/>
    <mergeCell ref="A44:A48"/>
    <mergeCell ref="B44:B48"/>
    <mergeCell ref="C44:C48"/>
    <mergeCell ref="D44:D48"/>
    <mergeCell ref="AK44:AK48"/>
    <mergeCell ref="AL44:AL48"/>
    <mergeCell ref="AM39:AM43"/>
    <mergeCell ref="AN39:AN43"/>
    <mergeCell ref="AO39:AO43"/>
    <mergeCell ref="AS44:AS48"/>
    <mergeCell ref="AT44:AT48"/>
    <mergeCell ref="AU44:AU48"/>
    <mergeCell ref="AV44:AV48"/>
    <mergeCell ref="AM44:AM48"/>
    <mergeCell ref="AN44:AN48"/>
    <mergeCell ref="AO44:AO48"/>
    <mergeCell ref="AP44:AP48"/>
    <mergeCell ref="AQ44:AQ48"/>
    <mergeCell ref="AR44:AR48"/>
  </mergeCells>
  <pageMargins left="0.15" right="0.15" top="0.5" bottom="0.2" header="0.3" footer="0.3"/>
  <ignoredErrors>
    <ignoredError numberStoredAsText="1" sqref="A1:AW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HENC &amp; TCN Zone_July.26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2014-05-27T10:09:29Z</dcterms:created>
  <dcterms:modified xsi:type="dcterms:W3CDTF">2026-08-02T07:38:24Z</dcterms:modified>
  <cp:lastModifiedBy>hwenc</cp:lastModifiedBy>
  <cp:lastPrinted>2025-12-04T11:19:59Z</cp:lastPrinted>
  <dc:creator>HWENC</dc:creator>
</cp:coreProperties>
</file>